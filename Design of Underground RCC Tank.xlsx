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Roof Slab" sheetId="2" r:id="rId6"/>
    <sheet state="visible" name="Long Wall" sheetId="3" r:id="rId7"/>
    <sheet state="visible" name="Short Wall" sheetId="4" r:id="rId8"/>
    <sheet state="visible" name="Base Slab" sheetId="5" r:id="rId9"/>
    <sheet state="visible" name="Estimation" sheetId="6" r:id="rId10"/>
    <sheet state="visible" name="Final Values" sheetId="7" r:id="rId11"/>
  </sheets>
  <definedNames/>
  <calcPr/>
</workbook>
</file>

<file path=xl/sharedStrings.xml><?xml version="1.0" encoding="utf-8"?>
<sst xmlns="http://schemas.openxmlformats.org/spreadsheetml/2006/main" count="1845" uniqueCount="668">
  <si>
    <t>length</t>
  </si>
  <si>
    <t>width</t>
  </si>
  <si>
    <t>depth</t>
  </si>
  <si>
    <t>DESIGN OF ROOF SLAB</t>
  </si>
  <si>
    <t>A:INPUT DATA</t>
  </si>
  <si>
    <t>Description</t>
  </si>
  <si>
    <t>Symbol</t>
  </si>
  <si>
    <t>Value</t>
  </si>
  <si>
    <t>Unit</t>
  </si>
  <si>
    <t>Tank Length (Long Span)</t>
  </si>
  <si>
    <t>Ly</t>
  </si>
  <si>
    <t>m</t>
  </si>
  <si>
    <t>Tank Width (Short Span)</t>
  </si>
  <si>
    <t>Lx</t>
  </si>
  <si>
    <t>Edge Condition</t>
  </si>
  <si>
    <t>-</t>
  </si>
  <si>
    <t>Fixed on all edges</t>
  </si>
  <si>
    <t>Grade of Concrete</t>
  </si>
  <si>
    <t>fck</t>
  </si>
  <si>
    <t>MPa</t>
  </si>
  <si>
    <t>Grade of Steel</t>
  </si>
  <si>
    <t>fy</t>
  </si>
  <si>
    <t>Clear Cover</t>
  </si>
  <si>
    <t>Cc</t>
  </si>
  <si>
    <t>mm</t>
  </si>
  <si>
    <t>Live Load</t>
  </si>
  <si>
    <t>LL</t>
  </si>
  <si>
    <t>kN/m²</t>
  </si>
  <si>
    <t>Finish/Waterproofing</t>
  </si>
  <si>
    <t>FL</t>
  </si>
  <si>
    <t>Bar Diameter (Main)</t>
  </si>
  <si>
    <t>φm</t>
  </si>
  <si>
    <t>Bar Diameter (Dist.)</t>
  </si>
  <si>
    <t>φd</t>
  </si>
  <si>
    <t>B.PRELIMINARY SIZING</t>
  </si>
  <si>
    <t>Short Span/Long Span</t>
  </si>
  <si>
    <t>Lx/Ly</t>
  </si>
  <si>
    <t>Assumed Span/Depth Ratio</t>
  </si>
  <si>
    <t>Required Depth</t>
  </si>
  <si>
    <t>d</t>
  </si>
  <si>
    <t>Assumed Overall Depth</t>
  </si>
  <si>
    <t>D</t>
  </si>
  <si>
    <t>Effective Depth (Short Span)</t>
  </si>
  <si>
    <t>dx</t>
  </si>
  <si>
    <t>Effective Depth (Long Span)</t>
  </si>
  <si>
    <t>dy</t>
  </si>
  <si>
    <t>C.LOAD CALCULATIONS</t>
  </si>
  <si>
    <t>Self Weight (DL)</t>
  </si>
  <si>
    <t>DL</t>
  </si>
  <si>
    <t>Total Service Load</t>
  </si>
  <si>
    <t>w</t>
  </si>
  <si>
    <t>Factored Loads:</t>
  </si>
  <si>
    <t>Dead Load Factor</t>
  </si>
  <si>
    <t>γDL</t>
  </si>
  <si>
    <t>Live Load Factor</t>
  </si>
  <si>
    <t>γLL</t>
  </si>
  <si>
    <t>Factored DL</t>
  </si>
  <si>
    <t>wDL</t>
  </si>
  <si>
    <t>Factored LL</t>
  </si>
  <si>
    <t>wLL</t>
  </si>
  <si>
    <t>Total Factored Load</t>
  </si>
  <si>
    <t>wu</t>
  </si>
  <si>
    <t>D.LOAD TRANSFER TO WALLS</t>
  </si>
  <si>
    <t>Total Roof Load (Factored)</t>
  </si>
  <si>
    <t>Wroof</t>
  </si>
  <si>
    <t>kN</t>
  </si>
  <si>
    <t xml:space="preserve">Load on Long Walls </t>
  </si>
  <si>
    <t>Tributary Area per Long Wall</t>
  </si>
  <si>
    <t>Atr,long</t>
  </si>
  <si>
    <t>m²</t>
  </si>
  <si>
    <t>Load per Long Wall</t>
  </si>
  <si>
    <t>Wlong</t>
  </si>
  <si>
    <t>Load per meter on Long Wall</t>
  </si>
  <si>
    <t>wlong</t>
  </si>
  <si>
    <t>kN/m</t>
  </si>
  <si>
    <t>Load on Short Walls</t>
  </si>
  <si>
    <t>Tributary Area per Short Wall</t>
  </si>
  <si>
    <t>Atr,short</t>
  </si>
  <si>
    <t>Load per Short Wall</t>
  </si>
  <si>
    <t>Wshort</t>
  </si>
  <si>
    <t>Load per meter on Short Wall</t>
  </si>
  <si>
    <t>wshort</t>
  </si>
  <si>
    <t>E.BENDING MOMENT CALCULATIONS</t>
  </si>
  <si>
    <t>Aspect Ratio</t>
  </si>
  <si>
    <t>r = Lx/Ly</t>
  </si>
  <si>
    <t>Moment Coefficients (IS 456 Table 26)</t>
  </si>
  <si>
    <t>For Fixed Edges, Two-way Slab</t>
  </si>
  <si>
    <t>αx (Short Span - Negative)</t>
  </si>
  <si>
    <t>αx-</t>
  </si>
  <si>
    <t>αx (Short Span - Positive)</t>
  </si>
  <si>
    <t>αx+</t>
  </si>
  <si>
    <t>αy (Long Span - Negative)</t>
  </si>
  <si>
    <t>αy-</t>
  </si>
  <si>
    <t>αy (Long Span - Positive)</t>
  </si>
  <si>
    <t>αy+</t>
  </si>
  <si>
    <t>Design Moments</t>
  </si>
  <si>
    <t>Mux- (Negative)</t>
  </si>
  <si>
    <t>Mux-</t>
  </si>
  <si>
    <t>kNm/m</t>
  </si>
  <si>
    <t>Mux+ (Positive)</t>
  </si>
  <si>
    <t>Mux+</t>
  </si>
  <si>
    <t>Muy- (Negative)</t>
  </si>
  <si>
    <t>Muy-</t>
  </si>
  <si>
    <t>Muy+ (Positive)</t>
  </si>
  <si>
    <t>Muy+</t>
  </si>
  <si>
    <t>F.STEEL REINFORCEMENT - SHORT SPAN (X-DIRECTION)</t>
  </si>
  <si>
    <t>Negative Moment (Support) - TOP STEEL</t>
  </si>
  <si>
    <t>Design Moment</t>
  </si>
  <si>
    <t>Mu</t>
  </si>
  <si>
    <t>Nmm/m</t>
  </si>
  <si>
    <t>Effective Depth</t>
  </si>
  <si>
    <t>Mu/bd²</t>
  </si>
  <si>
    <t>Ru</t>
  </si>
  <si>
    <t>N/mm²</t>
  </si>
  <si>
    <t>ρ required</t>
  </si>
  <si>
    <t>ρ</t>
  </si>
  <si>
    <t>Min ρ (0.12%)</t>
  </si>
  <si>
    <t>ρmin</t>
  </si>
  <si>
    <t>Actual ρ</t>
  </si>
  <si>
    <t>ρact</t>
  </si>
  <si>
    <t>Ast required</t>
  </si>
  <si>
    <t>Ast,req</t>
  </si>
  <si>
    <t>mm²/m</t>
  </si>
  <si>
    <t>Area of one bar</t>
  </si>
  <si>
    <t>Ab</t>
  </si>
  <si>
    <t>mm²</t>
  </si>
  <si>
    <t>Spacing required</t>
  </si>
  <si>
    <t>Sreq</t>
  </si>
  <si>
    <t>Max Spacing (3d or 300mm)</t>
  </si>
  <si>
    <t>Smax</t>
  </si>
  <si>
    <t>Spacing Provided</t>
  </si>
  <si>
    <t>Sprov</t>
  </si>
  <si>
    <t>mm c/c</t>
  </si>
  <si>
    <t>Ast Provided</t>
  </si>
  <si>
    <t>Ast,prov</t>
  </si>
  <si>
    <t>Positive Moment (Mid Span) - BOTTOM STEEL</t>
  </si>
  <si>
    <t>Summary - Short Span Main Steel</t>
  </si>
  <si>
    <t>Top (Support)</t>
  </si>
  <si>
    <t>Bottom (Mid Span)</t>
  </si>
  <si>
    <t>G.STEEL REINFORCEMENT - LONG SPAN (Y-DIRECTION)</t>
  </si>
  <si>
    <t>Summary - Long Span Distribution Steel</t>
  </si>
  <si>
    <t>H.SHEAR CHECK</t>
  </si>
  <si>
    <t>Design Shear Force</t>
  </si>
  <si>
    <t>Vu</t>
  </si>
  <si>
    <t>Nominal Shear Stress</t>
  </si>
  <si>
    <t>τv</t>
  </si>
  <si>
    <t>% Steel Provided</t>
  </si>
  <si>
    <t>pt</t>
  </si>
  <si>
    <t>%</t>
  </si>
  <si>
    <t>Permissible Shear Stress (Table 19, IS 456)</t>
  </si>
  <si>
    <t>τc for given pt and fck</t>
  </si>
  <si>
    <t>τc</t>
  </si>
  <si>
    <t>Max Shear (0.5√fck)</t>
  </si>
  <si>
    <t>τc,max</t>
  </si>
  <si>
    <t>Check</t>
  </si>
  <si>
    <t>Status</t>
  </si>
  <si>
    <t>Safety Factor</t>
  </si>
  <si>
    <t>SF</t>
  </si>
  <si>
    <t>G.DEFLECTION &amp; CRACK WIDTH</t>
  </si>
  <si>
    <t>Basic L/d ratio</t>
  </si>
  <si>
    <t>(L/d)basic</t>
  </si>
  <si>
    <t>fs (Service Stress)</t>
  </si>
  <si>
    <t>fs</t>
  </si>
  <si>
    <t>Modification Factor</t>
  </si>
  <si>
    <t>kt</t>
  </si>
  <si>
    <t>Modified (L/d)allowed</t>
  </si>
  <si>
    <t>(L/d)allow</t>
  </si>
  <si>
    <t>Actual (L/d)</t>
  </si>
  <si>
    <t>(L/d)actual</t>
  </si>
  <si>
    <t>CRACK WIDTH CHECK (IS 3370 Part 2)</t>
  </si>
  <si>
    <t>Max Permissible Crack Width</t>
  </si>
  <si>
    <t>wcr,max</t>
  </si>
  <si>
    <t>Service Stress in Steel</t>
  </si>
  <si>
    <t>Distance from compression to centroid</t>
  </si>
  <si>
    <t>acr</t>
  </si>
  <si>
    <t>Design Surface Crack Width</t>
  </si>
  <si>
    <t>wcr</t>
  </si>
  <si>
    <t>H.ROOF SLAB DESIGN SUMMARY</t>
  </si>
  <si>
    <t>Overall Depth</t>
  </si>
  <si>
    <t>Effective Depth (Short)</t>
  </si>
  <si>
    <t>Reinforcement:</t>
  </si>
  <si>
    <t>Short Span - Top</t>
  </si>
  <si>
    <t>Short Span - Bottom</t>
  </si>
  <si>
    <t>Long Span - Top</t>
  </si>
  <si>
    <t>Long Span - Bottom</t>
  </si>
  <si>
    <t>Design Checks:</t>
  </si>
  <si>
    <t>Shear Check</t>
  </si>
  <si>
    <t>Deflection Check</t>
  </si>
  <si>
    <t>Crack Width Check</t>
  </si>
  <si>
    <t>I.LOAD TRANSFER:</t>
  </si>
  <si>
    <t>Load on Long Wall</t>
  </si>
  <si>
    <t>Load on Short Wall</t>
  </si>
  <si>
    <t>DESIGN OF LONG WALL</t>
  </si>
  <si>
    <t>Length of Wall</t>
  </si>
  <si>
    <t>L</t>
  </si>
  <si>
    <t>Height of Wall</t>
  </si>
  <si>
    <t>H</t>
  </si>
  <si>
    <t>Water Depth Inside</t>
  </si>
  <si>
    <t>Hw</t>
  </si>
  <si>
    <t>Soil Height Outside</t>
  </si>
  <si>
    <t>Hs</t>
  </si>
  <si>
    <t>Support Condition</t>
  </si>
  <si>
    <t>Fixed Top &amp; Bottom</t>
  </si>
  <si>
    <t>Clear Cover (Inside)</t>
  </si>
  <si>
    <t>Cci</t>
  </si>
  <si>
    <t>Clear Cover (Outside)</t>
  </si>
  <si>
    <t>Cco</t>
  </si>
  <si>
    <t>Density of Water</t>
  </si>
  <si>
    <t>γw</t>
  </si>
  <si>
    <t>kN/m³</t>
  </si>
  <si>
    <t>Density of Soil</t>
  </si>
  <si>
    <t>γs</t>
  </si>
  <si>
    <t>Coeff. of Earth Pressure</t>
  </si>
  <si>
    <t>Ka</t>
  </si>
  <si>
    <t>Load per meter from Roof</t>
  </si>
  <si>
    <t>wroof</t>
  </si>
  <si>
    <t>B. PRELIMINARY SIZING</t>
  </si>
  <si>
    <t>Minimum Wall Thickness</t>
  </si>
  <si>
    <t>tw,min</t>
  </si>
  <si>
    <t>Assumed Wall Thickness</t>
  </si>
  <si>
    <t>tw</t>
  </si>
  <si>
    <t>Effective Depth (Inside Face)</t>
  </si>
  <si>
    <t>di</t>
  </si>
  <si>
    <t>Effective Depth (Outside Face)</t>
  </si>
  <si>
    <t>do</t>
  </si>
  <si>
    <t>Eff. Cover (Inside)</t>
  </si>
  <si>
    <t>d'i</t>
  </si>
  <si>
    <t>Eff. Cover (Outside)</t>
  </si>
  <si>
    <t>d'o</t>
  </si>
  <si>
    <t>C. LOAD CALCULATIONS</t>
  </si>
  <si>
    <t>VERTICAL LOAD (Top of Wall)</t>
  </si>
  <si>
    <t>Roof Slab Load (Factored)</t>
  </si>
  <si>
    <t>Proof</t>
  </si>
  <si>
    <t>WATER PRESSURE (INSIDE)- Full Condition</t>
  </si>
  <si>
    <t>Max Water Pressure at Base</t>
  </si>
  <si>
    <t>Pw,max</t>
  </si>
  <si>
    <t>Load Factor for Water</t>
  </si>
  <si>
    <t>Design Water Pressure</t>
  </si>
  <si>
    <t>Pw,d</t>
  </si>
  <si>
    <t>SOIL PRESSURE (OUTSIDE) - Empty Condition</t>
  </si>
  <si>
    <t>Active Earth Pressure at Base</t>
  </si>
  <si>
    <t>Ps,max</t>
  </si>
  <si>
    <t>Load Factor for Soil</t>
  </si>
  <si>
    <t>Design Soil Pressure</t>
  </si>
  <si>
    <t>Ps,d</t>
  </si>
  <si>
    <t>CRITICAL LOAD CASE</t>
  </si>
  <si>
    <t>Case 1: Tank Full (Water Inside)</t>
  </si>
  <si>
    <t>P1</t>
  </si>
  <si>
    <t>Case 2: Tank Empty (Soil Outside)</t>
  </si>
  <si>
    <t>P2</t>
  </si>
  <si>
    <t>Critical Pressure</t>
  </si>
  <si>
    <t>Pcr</t>
  </si>
  <si>
    <t>Critical Case</t>
  </si>
  <si>
    <t>D. AXIAL LOAD CHECK</t>
  </si>
  <si>
    <t>AXIAL LOAD ON WALL</t>
  </si>
  <si>
    <t>Load from Roof per meter</t>
  </si>
  <si>
    <t>Self Weight of Wall</t>
  </si>
  <si>
    <t>Wwall</t>
  </si>
  <si>
    <t>Total Axial Load</t>
  </si>
  <si>
    <t>Pu</t>
  </si>
  <si>
    <t>Note: Since axial stress is low, design as flexural member with lateral pressure as primary load</t>
  </si>
  <si>
    <t>Axial Stress</t>
  </si>
  <si>
    <t>σa</t>
  </si>
  <si>
    <t>Permissible (0.1fck)</t>
  </si>
  <si>
    <t>σa,max</t>
  </si>
  <si>
    <t>E. BENDING MOMENT</t>
  </si>
  <si>
    <t>BENDING MOMENT CALCULATIONS</t>
  </si>
  <si>
    <t>Fixed at Top and Bottom</t>
  </si>
  <si>
    <t>For Triangular Load (Varying from 0 to Pmax)</t>
  </si>
  <si>
    <t>Height</t>
  </si>
  <si>
    <t>Max Pressure</t>
  </si>
  <si>
    <t>Pmax</t>
  </si>
  <si>
    <t>Moment Coefficients for Fixed-Fixed Condition</t>
  </si>
  <si>
    <t>At Bottom Support</t>
  </si>
  <si>
    <t>α1</t>
  </si>
  <si>
    <t>At Mid Height</t>
  </si>
  <si>
    <t>α2</t>
  </si>
  <si>
    <t>At Top Support</t>
  </si>
  <si>
    <t>α3</t>
  </si>
  <si>
    <t>Moment at Bottom</t>
  </si>
  <si>
    <t>Mb</t>
  </si>
  <si>
    <t>Moment at Mid Height</t>
  </si>
  <si>
    <t>Mm</t>
  </si>
  <si>
    <t>Moment at Top</t>
  </si>
  <si>
    <t>Mt</t>
  </si>
  <si>
    <t>Design Moment (Max)</t>
  </si>
  <si>
    <t>F. STEEL REINFORCEMENT - VERTICAL</t>
  </si>
  <si>
    <t>VERTICAL STEEL REINFORCEMENT</t>
  </si>
  <si>
    <t>Inside Face (Tension when Full)</t>
  </si>
  <si>
    <t>Outside Face (Tension when Empty)</t>
  </si>
  <si>
    <t>Max Spacing</t>
  </si>
  <si>
    <t>G. STEEL REINFORCEMENT - HORIZONTAL</t>
  </si>
  <si>
    <t>HORIZONTAL STEEL REINFORCEMENT (DISTRIBUTION)</t>
  </si>
  <si>
    <t>Min % of Vertical Steel</t>
  </si>
  <si>
    <t>Min Area Required</t>
  </si>
  <si>
    <t>Ast,min</t>
  </si>
  <si>
    <t>Inside Face</t>
  </si>
  <si>
    <t>Outside Face</t>
  </si>
  <si>
    <t>H. SHEAR CHECK</t>
  </si>
  <si>
    <t>Maximum Shear Force</t>
  </si>
  <si>
    <t>For Triangular Load, Fixed-Fixed</t>
  </si>
  <si>
    <t>Shear Force at Support</t>
  </si>
  <si>
    <t>Check:</t>
  </si>
  <si>
    <t xml:space="preserve">I.CRACK WIDTH CHECK </t>
  </si>
  <si>
    <t>For Critical Face</t>
  </si>
  <si>
    <t>Face Under Consideration</t>
  </si>
  <si>
    <t>Ast</t>
  </si>
  <si>
    <t>Spacing</t>
  </si>
  <si>
    <t>S</t>
  </si>
  <si>
    <t>Cover</t>
  </si>
  <si>
    <t>J. LOAD TRANSFER TO BASE SLAB</t>
  </si>
  <si>
    <t>Load from Roof (per meter)</t>
  </si>
  <si>
    <t>Total Load at Base</t>
  </si>
  <si>
    <t>Pbase</t>
  </si>
  <si>
    <t>Total Load from Both Long Walls</t>
  </si>
  <si>
    <t>Total Load from 2 Long Walls</t>
  </si>
  <si>
    <t>Wlong,total</t>
  </si>
  <si>
    <t>Load per unit area on Base Slab</t>
  </si>
  <si>
    <t>wlong,base</t>
  </si>
  <si>
    <t>K.LONG WALL DESIGN SUMMARY</t>
  </si>
  <si>
    <t>Wall Length</t>
  </si>
  <si>
    <t>Wall Height</t>
  </si>
  <si>
    <t>Wall Thickness</t>
  </si>
  <si>
    <t>Critical Load Case:</t>
  </si>
  <si>
    <t>Reinforcement Details:</t>
  </si>
  <si>
    <t>Vertical - Inside Face</t>
  </si>
  <si>
    <t>Vertical - Outside Face</t>
  </si>
  <si>
    <t>Horizontal - Both Faces</t>
  </si>
  <si>
    <t>Axial Load Check</t>
  </si>
  <si>
    <t>L.LOAD TRANSFER TO BASE SLAB</t>
  </si>
  <si>
    <t>Load at base per meter</t>
  </si>
  <si>
    <t>DESIGN OF SHORT WALL</t>
  </si>
  <si>
    <t>A.INPUT DATA</t>
  </si>
  <si>
    <t>Fixed Top, Bottom &amp; Sides</t>
  </si>
  <si>
    <t>WATER PRESSURE (INSIDE) - Full Condition</t>
  </si>
  <si>
    <t>Fixed on All Edges (Two-way Action)</t>
  </si>
  <si>
    <t>For Two-Way Spanning Wall Panel</t>
  </si>
  <si>
    <t>Height (Short Span)</t>
  </si>
  <si>
    <t>Length (Long Span)</t>
  </si>
  <si>
    <t>For Triangular Load on Two-Way Panel(IS 456:2000 - TABLE 26 Two Short Edge Discontinous)</t>
  </si>
  <si>
    <t>Moment Coefficient (Vertical)</t>
  </si>
  <si>
    <t>αv</t>
  </si>
  <si>
    <t>Moment Coefficient (Horizontal)</t>
  </si>
  <si>
    <t>αh</t>
  </si>
  <si>
    <t>Vertical Moment (per m width)</t>
  </si>
  <si>
    <t>Mv</t>
  </si>
  <si>
    <t>Horizontal Moment (per m height)</t>
  </si>
  <si>
    <t>Mh</t>
  </si>
  <si>
    <t>Design Moment (Vertical)</t>
  </si>
  <si>
    <t>Mu,v</t>
  </si>
  <si>
    <t>Design Moment (Horizontal)</t>
  </si>
  <si>
    <t>Mu,h</t>
  </si>
  <si>
    <t>VERTICAL STEEL REINFORCEMENT (MAIN)</t>
  </si>
  <si>
    <t>HORIZONTAL STEEL REINFORCEMENT</t>
  </si>
  <si>
    <t>For Triangular Load, Two-way Action</t>
  </si>
  <si>
    <t xml:space="preserve">For Critical Face </t>
  </si>
  <si>
    <t>Total Load from Both Short Walls</t>
  </si>
  <si>
    <t>Total Load from 2 Short Walls</t>
  </si>
  <si>
    <t>Wshort,total</t>
  </si>
  <si>
    <t>wshort,base</t>
  </si>
  <si>
    <t>K.SHORT WALL DESIGN SUMMARY</t>
  </si>
  <si>
    <t>Horizontal - Inside Face</t>
  </si>
  <si>
    <t>Horizontal - Outside Face</t>
  </si>
  <si>
    <t>DESIGN OF BASE SLAB</t>
  </si>
  <si>
    <t>Tank Length</t>
  </si>
  <si>
    <t>Tank Width</t>
  </si>
  <si>
    <t>Tank Height</t>
  </si>
  <si>
    <t>Water Depth</t>
  </si>
  <si>
    <t>Soil Bearing Capacity</t>
  </si>
  <si>
    <t>SBC</t>
  </si>
  <si>
    <t>Ground Water Level</t>
  </si>
  <si>
    <t>GWL</t>
  </si>
  <si>
    <t>LOADS FROM WALLS:</t>
  </si>
  <si>
    <t>Load from Long Wall (per m)</t>
  </si>
  <si>
    <t>Load from Short Wall (per m)</t>
  </si>
  <si>
    <t>Long Wall Thickness</t>
  </si>
  <si>
    <t>tlong</t>
  </si>
  <si>
    <t>Short Wall Thickness</t>
  </si>
  <si>
    <t>tshort</t>
  </si>
  <si>
    <t>DOWNWARD LOADS</t>
  </si>
  <si>
    <t>Self Weight of Base Slab</t>
  </si>
  <si>
    <t>DL1</t>
  </si>
  <si>
    <t>Weight of Water</t>
  </si>
  <si>
    <t>DL2</t>
  </si>
  <si>
    <t>Loads from Walls (Distributed over base area)</t>
  </si>
  <si>
    <t>Total Load from Long Walls</t>
  </si>
  <si>
    <t>Distributed over Base</t>
  </si>
  <si>
    <t>wlong,dist</t>
  </si>
  <si>
    <t>Total Load from Short Walls</t>
  </si>
  <si>
    <t>wshort,dist</t>
  </si>
  <si>
    <t>Total Wall Load</t>
  </si>
  <si>
    <t>DL3</t>
  </si>
  <si>
    <t>Total Dead Load</t>
  </si>
  <si>
    <t>UPWARD LOADS</t>
  </si>
  <si>
    <t>Upward Water Pressure (if GWL high)</t>
  </si>
  <si>
    <t>Up</t>
  </si>
  <si>
    <t>Net Downward Load</t>
  </si>
  <si>
    <t>Wnet</t>
  </si>
  <si>
    <t>SOIL REACTION</t>
  </si>
  <si>
    <t>Soil Pressure (Service)</t>
  </si>
  <si>
    <t>qsoil</t>
  </si>
  <si>
    <t>CHECK BEARING CAPACITY</t>
  </si>
  <si>
    <t>Soil Pressure</t>
  </si>
  <si>
    <t>q</t>
  </si>
  <si>
    <t>Safe Bearing Capacity</t>
  </si>
  <si>
    <t>FACTORED LOADS</t>
  </si>
  <si>
    <t>Load Factor</t>
  </si>
  <si>
    <t>γf</t>
  </si>
  <si>
    <t>Factored Net Load</t>
  </si>
  <si>
    <t>UPLIFT CHECK (Empty Tank Condition)</t>
  </si>
  <si>
    <t>Self Weight + Walls (Empty)</t>
  </si>
  <si>
    <t>Wempty</t>
  </si>
  <si>
    <t>Uplift Pressure</t>
  </si>
  <si>
    <t>Pup</t>
  </si>
  <si>
    <t>Factor of Safety against Uplift</t>
  </si>
  <si>
    <t>FOS</t>
  </si>
  <si>
    <t>D.BENDING MOMENT CALCULATIONS</t>
  </si>
  <si>
    <t>1.UNIFORMLY DISTRIBUTED LOAD MOMENTS(Net upward pressure causes bending)</t>
  </si>
  <si>
    <t>Factored Soil Pressure (Upward)</t>
  </si>
  <si>
    <t>Factored Downward Load (UDL portion)</t>
  </si>
  <si>
    <t>qdown</t>
  </si>
  <si>
    <t>Net UDL for moment calculation</t>
  </si>
  <si>
    <t>qnet,udl</t>
  </si>
  <si>
    <t>Moments from UDL</t>
  </si>
  <si>
    <t>Mux- (Negative at Wall)</t>
  </si>
  <si>
    <t>Mux,udl-</t>
  </si>
  <si>
    <t>Mux+ (Positive at Mid)</t>
  </si>
  <si>
    <t>Mux,udl+</t>
  </si>
  <si>
    <t>Muy- (Negative at Wall)</t>
  </si>
  <si>
    <t>Muy,udl-</t>
  </si>
  <si>
    <t>Muy+ (Positive at Mid)</t>
  </si>
  <si>
    <t>Muy,udl+</t>
  </si>
  <si>
    <t>2.CONCENTRATED LINE LOADS FROM WALLS</t>
  </si>
  <si>
    <t>Long Walls (Perpendicular to short span)</t>
  </si>
  <si>
    <t>Line Load per Long Wall</t>
  </si>
  <si>
    <t>Plong</t>
  </si>
  <si>
    <t>Clear span in short direction</t>
  </si>
  <si>
    <t>Lx,clear</t>
  </si>
  <si>
    <t>For beam strip (per meter width)</t>
  </si>
  <si>
    <t>Moment due to line load (Fixed)</t>
  </si>
  <si>
    <t>Mwall,x</t>
  </si>
  <si>
    <t>Short Walls (Perpendicular to long span)</t>
  </si>
  <si>
    <t>Line Load per Short Wall</t>
  </si>
  <si>
    <t>Pshort</t>
  </si>
  <si>
    <t>Clear span in long direction</t>
  </si>
  <si>
    <t>Ly,clear</t>
  </si>
  <si>
    <t>Mwall,y</t>
  </si>
  <si>
    <t>3.COMBINED DESIGN MOMENTS</t>
  </si>
  <si>
    <t>Short Span Direction (X):</t>
  </si>
  <si>
    <t>Negative Moment at Wall</t>
  </si>
  <si>
    <t>Mux,neg</t>
  </si>
  <si>
    <t>Positive Moment at Mid</t>
  </si>
  <si>
    <t>Mux,pos</t>
  </si>
  <si>
    <t>Design Moment (Short Span)</t>
  </si>
  <si>
    <t>Mux,design</t>
  </si>
  <si>
    <t>Long Span Direction (Y):</t>
  </si>
  <si>
    <t>Muy,neg</t>
  </si>
  <si>
    <t>Muy,pos</t>
  </si>
  <si>
    <t>Design Moment (Long Span)</t>
  </si>
  <si>
    <t>Muy,design</t>
  </si>
  <si>
    <t>E.STEEL REINFORCEMENT - SHORT SPAN (X-DIRECTION)</t>
  </si>
  <si>
    <t>Main Steel at Bottom</t>
  </si>
  <si>
    <t>Top Steel (Min. Steel for Shrinkage)</t>
  </si>
  <si>
    <t>Bottom (Main - Tension)</t>
  </si>
  <si>
    <t>Top (Shrinkage)</t>
  </si>
  <si>
    <t>F.STEEL REINFORCEMENT - LONG SPAN (Y-DIRECTION)</t>
  </si>
  <si>
    <t>Top Steel (Min. Steel)</t>
  </si>
  <si>
    <t>G.SHEAR CHECK</t>
  </si>
  <si>
    <t>H.PUNCHING SHEAR CHECK</t>
  </si>
  <si>
    <t>Long Wall Junction</t>
  </si>
  <si>
    <t>Lw</t>
  </si>
  <si>
    <t>Load from Long Wall</t>
  </si>
  <si>
    <t>Pw</t>
  </si>
  <si>
    <t>Critical Perimeter</t>
  </si>
  <si>
    <t>bo</t>
  </si>
  <si>
    <t>Punching Shear Stress</t>
  </si>
  <si>
    <t>τpv</t>
  </si>
  <si>
    <t>Permissible (0.25√fck)</t>
  </si>
  <si>
    <t>τpv,max</t>
  </si>
  <si>
    <t>Short Wall Junction</t>
  </si>
  <si>
    <t>Load from Short Wall</t>
  </si>
  <si>
    <t>I. CRACK WIDTH CHECK</t>
  </si>
  <si>
    <t>J.BASE SLAB DESIGN SUMMARY</t>
  </si>
  <si>
    <t>Load Summary:</t>
  </si>
  <si>
    <t>Self Weight</t>
  </si>
  <si>
    <t>Water Weight</t>
  </si>
  <si>
    <t>Wall Loads</t>
  </si>
  <si>
    <t>Total Downward Load</t>
  </si>
  <si>
    <t>Upward Water Pressure</t>
  </si>
  <si>
    <t>Net Soil Pressure</t>
  </si>
  <si>
    <t>Bending Moments:</t>
  </si>
  <si>
    <t>Moment from UDL (Short)</t>
  </si>
  <si>
    <t>Moment from Wall (Short)</t>
  </si>
  <si>
    <t>Total Design Moment (Short)</t>
  </si>
  <si>
    <t>Moment from UDL (Long)</t>
  </si>
  <si>
    <t>Moment from Wall (Long)</t>
  </si>
  <si>
    <t>Total Design Moment (Long)</t>
  </si>
  <si>
    <t>Bearing Capacity</t>
  </si>
  <si>
    <t>Uplift Check</t>
  </si>
  <si>
    <t>Punching Shear (Long Wall)</t>
  </si>
  <si>
    <t>Punching Shear (Short Wall)</t>
  </si>
  <si>
    <t>ESTIMATION OF TANK</t>
  </si>
  <si>
    <t>Tank Specifications:</t>
  </si>
  <si>
    <t>Internal Length</t>
  </si>
  <si>
    <t>Internal Width</t>
  </si>
  <si>
    <t>Internal Height</t>
  </si>
  <si>
    <t>Tank Volume</t>
  </si>
  <si>
    <t>m³</t>
  </si>
  <si>
    <t>Capacity</t>
  </si>
  <si>
    <t>liters</t>
  </si>
  <si>
    <t>Capacity (KL)</t>
  </si>
  <si>
    <t>KL</t>
  </si>
  <si>
    <t>Member Dimensions:</t>
  </si>
  <si>
    <t>Member</t>
  </si>
  <si>
    <t>Thickness (mm)</t>
  </si>
  <si>
    <t>Thickness (m)</t>
  </si>
  <si>
    <t>Roof Slab</t>
  </si>
  <si>
    <t>Base Slab</t>
  </si>
  <si>
    <t xml:space="preserve">Long Wall </t>
  </si>
  <si>
    <t xml:space="preserve">Short Wall </t>
  </si>
  <si>
    <t>B.QUANTITY CALCULATIONS</t>
  </si>
  <si>
    <t>Length(m)</t>
  </si>
  <si>
    <t>Width(m)</t>
  </si>
  <si>
    <t>Height(m)</t>
  </si>
  <si>
    <t>Quantity</t>
  </si>
  <si>
    <t>Remarks</t>
  </si>
  <si>
    <t>1.EarthWork</t>
  </si>
  <si>
    <t>Excavation in ordinary soil</t>
  </si>
  <si>
    <t>Add 0.5m working space</t>
  </si>
  <si>
    <t>Filling with excavated earth</t>
  </si>
  <si>
    <t>Around tank</t>
  </si>
  <si>
    <t>Disposal of excess earth</t>
  </si>
  <si>
    <t>Excess removal</t>
  </si>
  <si>
    <t>2.RCC Quantities</t>
  </si>
  <si>
    <t>Long Walls (2 nos)</t>
  </si>
  <si>
    <t>Two walls</t>
  </si>
  <si>
    <t>Short Walls (2 nos)</t>
  </si>
  <si>
    <t>Two  walls</t>
  </si>
  <si>
    <t>Total RCC Concrete</t>
  </si>
  <si>
    <t>Add 2% wastage</t>
  </si>
  <si>
    <t>Total Concrete Required</t>
  </si>
  <si>
    <t>FINAL</t>
  </si>
  <si>
    <t>3.Steel Quantites</t>
  </si>
  <si>
    <t>Base Slab Steel</t>
  </si>
  <si>
    <t>kg</t>
  </si>
  <si>
    <t>@ 120 kg/m³</t>
  </si>
  <si>
    <t>Wall Steel</t>
  </si>
  <si>
    <t>@ 110 kg/m³</t>
  </si>
  <si>
    <t>Roof Slab Steel</t>
  </si>
  <si>
    <t>@ 100 kg/m³</t>
  </si>
  <si>
    <t>Total Steel Required</t>
  </si>
  <si>
    <t>Add 10% wastage</t>
  </si>
  <si>
    <t>Total Steel</t>
  </si>
  <si>
    <t>Convert to Tonnes</t>
  </si>
  <si>
    <t>Tonnes</t>
  </si>
  <si>
    <t>For Costing</t>
  </si>
  <si>
    <t>4.FormWork Quantities</t>
  </si>
  <si>
    <t>Base Slab - Top surface</t>
  </si>
  <si>
    <t>Long Walls - Both faces</t>
  </si>
  <si>
    <t>Both sides, 2 walls</t>
  </si>
  <si>
    <t>Short Walls - Both faces</t>
  </si>
  <si>
    <t>Roof Slab - Bottom</t>
  </si>
  <si>
    <t>Total Formwork</t>
  </si>
  <si>
    <t>Add 15% for edge strips</t>
  </si>
  <si>
    <t>Total Formwork Required</t>
  </si>
  <si>
    <t>5.WaterProofing Quantities</t>
  </si>
  <si>
    <t>Internal coating</t>
  </si>
  <si>
    <t>Floor + walls</t>
  </si>
  <si>
    <t>External bituminous</t>
  </si>
  <si>
    <t>Base + walls</t>
  </si>
  <si>
    <t>Integral waterproofing</t>
  </si>
  <si>
    <t>In concrete</t>
  </si>
  <si>
    <t>6. Plastering Quantites(12mm thick)</t>
  </si>
  <si>
    <t>Internal plastering</t>
  </si>
  <si>
    <t>All internal</t>
  </si>
  <si>
    <t>External plastering</t>
  </si>
  <si>
    <t>External walls</t>
  </si>
  <si>
    <t>7.Accesories and Fittings</t>
  </si>
  <si>
    <t>Inlet pipe (110mm PVC)</t>
  </si>
  <si>
    <t>Ground to tank</t>
  </si>
  <si>
    <t>Outlet pipe (110mm PVC)</t>
  </si>
  <si>
    <t>Overflow pipe (75mm PVC)</t>
  </si>
  <si>
    <t>Drain valve (50mm brass)</t>
  </si>
  <si>
    <t>No</t>
  </si>
  <si>
    <t>MS Ladder</t>
  </si>
  <si>
    <t>Access ladder</t>
  </si>
  <si>
    <t>Manhole cover (600x600)</t>
  </si>
  <si>
    <t>RCC cover</t>
  </si>
  <si>
    <t>Ventilation pipe (50mm)</t>
  </si>
  <si>
    <t>C.RATE ANALYSIS</t>
  </si>
  <si>
    <t>Rate (₹)</t>
  </si>
  <si>
    <t>Amount (₹)</t>
  </si>
  <si>
    <t>A.DIRECT COST</t>
  </si>
  <si>
    <t>Filling and compaction</t>
  </si>
  <si>
    <t>Disposal of earth</t>
  </si>
  <si>
    <t>Subtotal - Earthwork</t>
  </si>
  <si>
    <t>2.Reinforced Cement Concrete</t>
  </si>
  <si>
    <t xml:space="preserve">RCC </t>
  </si>
  <si>
    <t>Subtotal - RCC Concrete</t>
  </si>
  <si>
    <t>3.Steel Reinforcement</t>
  </si>
  <si>
    <t>Fe 500 TMT Steel bars</t>
  </si>
  <si>
    <t>Subtotal - Steel</t>
  </si>
  <si>
    <t>4.Formwork</t>
  </si>
  <si>
    <t>Plywood formwork with support</t>
  </si>
  <si>
    <t>Subtotal - Formwork</t>
  </si>
  <si>
    <t>5.WaterProofing Works</t>
  </si>
  <si>
    <t>Internal cementitious coating</t>
  </si>
  <si>
    <t>External bituminous coating</t>
  </si>
  <si>
    <t>Subtotal - Waterproofing</t>
  </si>
  <si>
    <t>6.Plastering Works</t>
  </si>
  <si>
    <t>Internal cement plaster 12mm</t>
  </si>
  <si>
    <t>External cement plaster 12mm</t>
  </si>
  <si>
    <t>Subtotal - Plastering</t>
  </si>
  <si>
    <t>7.Plumbing &amp; Fixtures</t>
  </si>
  <si>
    <t>Inlet pipe with fittings</t>
  </si>
  <si>
    <t>Outlet pipe with fittings</t>
  </si>
  <si>
    <t>Overflow pipe</t>
  </si>
  <si>
    <t>Drain valve (brass)</t>
  </si>
  <si>
    <t>RCC Manhole cover</t>
  </si>
  <si>
    <t>Ventilation pipe</t>
  </si>
  <si>
    <t>Subtotal - Plumbing</t>
  </si>
  <si>
    <t>Total Direct Cost</t>
  </si>
  <si>
    <t>B.INDIRECT COST</t>
  </si>
  <si>
    <t>Contractor's Profit (10%)</t>
  </si>
  <si>
    <t>Subtotal - Indirect</t>
  </si>
  <si>
    <t>Total Direct+Indirect Cost(Before Tax)</t>
  </si>
  <si>
    <t>C.Contingency and Taxes</t>
  </si>
  <si>
    <t>Contingency (5%)</t>
  </si>
  <si>
    <t>GST @ 18%</t>
  </si>
  <si>
    <t>Subtotal - Taxes</t>
  </si>
  <si>
    <t>Total Cost (Direct,Indirect,Taxes)(₹)</t>
  </si>
  <si>
    <t>D.ESTIMATION SUMMARY</t>
  </si>
  <si>
    <t>8.Contractor's Profit (10%)</t>
  </si>
  <si>
    <t>9.Contingency (5%)</t>
  </si>
  <si>
    <t>10.GST @ 18%</t>
  </si>
  <si>
    <t>TOTAL COST(₹)</t>
  </si>
  <si>
    <t>RB Overall Depth</t>
  </si>
  <si>
    <t>RB Short Span - Top</t>
  </si>
  <si>
    <t>RB Short Span - Bottom</t>
  </si>
  <si>
    <t>RB Long Span - Top</t>
  </si>
  <si>
    <t>RB Long Span - Bottom</t>
  </si>
  <si>
    <t>RB Shear Check</t>
  </si>
  <si>
    <t>RB Deflection Check</t>
  </si>
  <si>
    <t>RB Crack Width Check</t>
  </si>
  <si>
    <t>LW Vertical - Inside Face</t>
  </si>
  <si>
    <t>LW Vertical - Outside Face</t>
  </si>
  <si>
    <t>LW Horizontal - Both Faces</t>
  </si>
  <si>
    <t>LW Axial Load Check</t>
  </si>
  <si>
    <t>LW Shear Check</t>
  </si>
  <si>
    <t>LW Crack Width Check</t>
  </si>
  <si>
    <t>SW Vertical - Inside Face</t>
  </si>
  <si>
    <t>SW Vertical - Outside Face</t>
  </si>
  <si>
    <t>SW Horizontal - Inside Face</t>
  </si>
  <si>
    <t>SW Horizontal - Outside Face</t>
  </si>
  <si>
    <t>SW Axial Load Check</t>
  </si>
  <si>
    <t>SW Shear Check</t>
  </si>
  <si>
    <t>SW Crack Width Check</t>
  </si>
  <si>
    <t>Base Slab Overall Depth</t>
  </si>
  <si>
    <t>BS Short Span - Bottom</t>
  </si>
  <si>
    <t>BS Short Span - Top</t>
  </si>
  <si>
    <t>BS Long Span - Bottom</t>
  </si>
  <si>
    <t>BS Long Span - Top</t>
  </si>
  <si>
    <t>BS Bearing Capacity Check</t>
  </si>
  <si>
    <t>BS Uplift Check</t>
  </si>
  <si>
    <t>BS Shear Check</t>
  </si>
  <si>
    <t>BS Punching Shear (Long Wall)</t>
  </si>
  <si>
    <t>BS Punching Shear (Short Wall)</t>
  </si>
  <si>
    <t>BS Crack Width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</si>
</sst>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00"/>
    <numFmt numFmtId="166" formatCode="0.0000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sz val="12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u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u/>
      <sz val="12.0"/>
      <color theme="1"/>
      <name val="Calibri"/>
    </font>
    <font>
      <b/>
      <u/>
      <sz val="12.0"/>
      <color rgb="FF000000"/>
      <name val="Calibri"/>
    </font>
    <font>
      <color theme="1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u/>
      <sz val="12.0"/>
      <color rgb="FF000000"/>
      <name val="Calibri"/>
    </font>
    <font>
      <b/>
      <u/>
      <sz val="12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2" fontId="4" numFmtId="164" xfId="0" applyAlignment="1" applyFill="1" applyFont="1" applyNumberFormat="1">
      <alignment readingOrder="0"/>
    </xf>
    <xf borderId="0" fillId="0" fontId="8" numFmtId="0" xfId="0" applyAlignment="1" applyFont="1">
      <alignment readingOrder="0" shrinkToFit="0" vertical="bottom" wrapText="0"/>
    </xf>
    <xf borderId="0" fillId="3" fontId="4" numFmtId="1" xfId="0" applyAlignment="1" applyFill="1" applyFont="1" applyNumberFormat="1">
      <alignment readingOrder="0"/>
    </xf>
    <xf borderId="0" fillId="0" fontId="4" numFmtId="2" xfId="0" applyFont="1" applyNumberFormat="1"/>
    <xf borderId="0" fillId="3" fontId="4" numFmtId="2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4" numFmtId="2" xfId="0" applyFill="1" applyFont="1" applyNumberFormat="1"/>
    <xf borderId="0" fillId="0" fontId="4" numFmtId="165" xfId="0" applyFont="1" applyNumberFormat="1"/>
    <xf borderId="0" fillId="0" fontId="4" numFmtId="165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5" fontId="9" numFmtId="0" xfId="0" applyAlignment="1" applyFill="1" applyFont="1">
      <alignment readingOrder="0"/>
    </xf>
    <xf borderId="0" fillId="5" fontId="4" numFmtId="0" xfId="0" applyFont="1"/>
    <xf borderId="0" fillId="5" fontId="4" numFmtId="2" xfId="0" applyFont="1" applyNumberFormat="1"/>
    <xf borderId="0" fillId="5" fontId="4" numFmtId="0" xfId="0" applyAlignment="1" applyFont="1">
      <alignment readingOrder="0"/>
    </xf>
    <xf borderId="0" fillId="5" fontId="4" numFmtId="2" xfId="0" applyAlignment="1" applyFont="1" applyNumberFormat="1">
      <alignment readingOrder="0"/>
    </xf>
    <xf borderId="0" fillId="5" fontId="5" numFmtId="0" xfId="0" applyAlignment="1" applyFont="1">
      <alignment readingOrder="0"/>
    </xf>
    <xf borderId="0" fillId="6" fontId="4" numFmtId="2" xfId="0" applyFill="1" applyFont="1" applyNumberFormat="1"/>
    <xf borderId="0" fillId="2" fontId="8" numFmtId="164" xfId="0" applyAlignment="1" applyFont="1" applyNumberFormat="1">
      <alignment readingOrder="0" shrinkToFit="0" vertical="bottom" wrapText="0"/>
    </xf>
    <xf borderId="0" fillId="0" fontId="8" numFmtId="164" xfId="0" applyAlignment="1" applyFont="1" applyNumberFormat="1">
      <alignment readingOrder="0" shrinkToFit="0" vertical="bottom" wrapText="0"/>
    </xf>
    <xf borderId="0" fillId="0" fontId="8" numFmtId="1" xfId="0" applyAlignment="1" applyFont="1" applyNumberFormat="1">
      <alignment readingOrder="0" shrinkToFit="0" vertical="bottom" wrapText="0"/>
    </xf>
    <xf borderId="0" fillId="3" fontId="8" numFmtId="1" xfId="0" applyAlignment="1" applyFont="1" applyNumberFormat="1">
      <alignment readingOrder="0" shrinkToFit="0" vertical="bottom" wrapText="0"/>
    </xf>
    <xf borderId="0" fillId="3" fontId="8" numFmtId="2" xfId="0" applyAlignment="1" applyFont="1" applyNumberFormat="1">
      <alignment readingOrder="0" shrinkToFit="0" vertical="bottom" wrapText="0"/>
    </xf>
    <xf borderId="0" fillId="0" fontId="8" numFmtId="2" xfId="0" applyAlignment="1" applyFont="1" applyNumberFormat="1">
      <alignment readingOrder="0" shrinkToFit="0" vertical="bottom" wrapText="0"/>
    </xf>
    <xf borderId="0" fillId="3" fontId="4" numFmtId="2" xfId="0" applyFont="1" applyNumberFormat="1"/>
    <xf borderId="0" fillId="0" fontId="4" numFmtId="0" xfId="0" applyAlignment="1" applyFont="1">
      <alignment readingOrder="0" shrinkToFit="0" wrapText="1"/>
    </xf>
    <xf borderId="0" fillId="4" fontId="4" numFmtId="166" xfId="0" applyAlignment="1" applyFont="1" applyNumberFormat="1">
      <alignment readingOrder="0"/>
    </xf>
    <xf borderId="0" fillId="5" fontId="7" numFmtId="0" xfId="0" applyAlignment="1" applyFont="1">
      <alignment readingOrder="0" shrinkToFit="0" vertical="bottom" wrapText="0"/>
    </xf>
    <xf borderId="0" fillId="5" fontId="8" numFmtId="0" xfId="0" applyAlignment="1" applyFont="1">
      <alignment shrinkToFit="0" vertical="bottom" wrapText="0"/>
    </xf>
    <xf borderId="0" fillId="5" fontId="8" numFmtId="2" xfId="0" applyAlignment="1" applyFont="1" applyNumberFormat="1">
      <alignment shrinkToFit="0" vertical="bottom" wrapText="0"/>
    </xf>
    <xf borderId="0" fillId="5" fontId="8" numFmtId="0" xfId="0" applyAlignment="1" applyFont="1">
      <alignment readingOrder="0" shrinkToFit="0" vertical="bottom" wrapText="0"/>
    </xf>
    <xf borderId="0" fillId="5" fontId="8" numFmtId="164" xfId="0" applyAlignment="1" applyFont="1" applyNumberFormat="1">
      <alignment shrinkToFit="0" vertical="bottom" wrapText="0"/>
    </xf>
    <xf borderId="0" fillId="5" fontId="8" numFmtId="2" xfId="0" applyAlignment="1" applyFont="1" applyNumberForma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2" xfId="0" applyAlignment="1" applyFont="1" applyNumberFormat="1">
      <alignment shrinkToFit="0" vertical="bottom" wrapText="0"/>
    </xf>
    <xf borderId="0" fillId="6" fontId="8" numFmtId="2" xfId="0" applyAlignment="1" applyFont="1" applyNumberForma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/>
    </xf>
    <xf borderId="0" fillId="4" fontId="4" numFmtId="0" xfId="0" applyFont="1"/>
    <xf borderId="0" fillId="0" fontId="7" numFmtId="0" xfId="0" applyAlignment="1" applyFont="1">
      <alignment readingOrder="0" shrinkToFit="0" vertical="bottom" wrapText="0"/>
    </xf>
    <xf borderId="0" fillId="0" fontId="11" numFmtId="0" xfId="0" applyFont="1"/>
    <xf borderId="0" fillId="7" fontId="8" numFmtId="0" xfId="0" applyAlignment="1" applyFill="1" applyFont="1">
      <alignment readingOrder="0" shrinkToFit="0" vertical="bottom" wrapText="0"/>
    </xf>
    <xf borderId="0" fillId="0" fontId="11" numFmtId="2" xfId="0" applyFont="1" applyNumberFormat="1"/>
    <xf borderId="0" fillId="0" fontId="8" numFmtId="0" xfId="0" applyAlignment="1" applyFont="1">
      <alignment shrinkToFit="0" vertical="bottom" wrapText="0"/>
    </xf>
    <xf borderId="0" fillId="7" fontId="8" numFmtId="2" xfId="0" applyAlignment="1" applyFont="1" applyNumberFormat="1">
      <alignment shrinkToFit="0" vertical="bottom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6" fontId="8" numFmtId="2" xfId="0" applyAlignment="1" applyFont="1" applyNumberForma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4" numFmtId="1" xfId="0" applyFont="1" applyNumberFormat="1"/>
    <xf borderId="0" fillId="5" fontId="15" numFmtId="0" xfId="0" applyAlignment="1" applyFont="1">
      <alignment readingOrder="0" shrinkToFit="0" vertical="bottom" wrapText="0"/>
    </xf>
    <xf borderId="0" fillId="5" fontId="5" numFmtId="0" xfId="0" applyAlignment="1" applyFont="1">
      <alignment vertical="bottom"/>
    </xf>
    <xf borderId="0" fillId="5" fontId="8" numFmtId="1" xfId="0" applyAlignment="1" applyFont="1" applyNumberFormat="1">
      <alignment shrinkToFit="0" vertical="bottom" wrapText="0"/>
    </xf>
    <xf borderId="0" fillId="5" fontId="5" numFmtId="0" xfId="0" applyAlignment="1" applyFont="1">
      <alignment vertical="bottom"/>
    </xf>
    <xf borderId="0" fillId="5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9" xfId="0" applyAlignment="1" applyFont="1" applyNumberFormat="1">
      <alignment readingOrder="0" shrinkToFit="0" vertical="bottom" wrapText="0"/>
    </xf>
    <xf borderId="0" fillId="0" fontId="8" numFmtId="9" xfId="0" applyAlignment="1" applyFont="1" applyNumberFormat="1">
      <alignment shrinkToFit="0" vertical="bottom" wrapText="0"/>
    </xf>
    <xf borderId="0" fillId="8" fontId="8" numFmtId="0" xfId="0" applyAlignment="1" applyFill="1" applyFont="1">
      <alignment readingOrder="0" shrinkToFit="0" vertical="bottom" wrapText="0"/>
    </xf>
    <xf borderId="0" fillId="8" fontId="4" numFmtId="0" xfId="0" applyAlignment="1" applyFont="1">
      <alignment readingOrder="0"/>
    </xf>
    <xf borderId="0" fillId="8" fontId="5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8" fontId="7" numFmtId="0" xfId="0" applyAlignment="1" applyFont="1">
      <alignment readingOrder="0" shrinkToFit="0" vertical="bottom" wrapText="0"/>
    </xf>
    <xf borderId="0" fillId="8" fontId="4" numFmtId="0" xfId="0" applyFont="1"/>
    <xf borderId="0" fillId="8" fontId="4" numFmtId="2" xfId="0" applyFont="1" applyNumberFormat="1"/>
    <xf borderId="0" fillId="8" fontId="8" numFmtId="0" xfId="0" applyAlignment="1" applyFont="1">
      <alignment shrinkToFit="0" vertical="bottom" wrapText="0"/>
    </xf>
    <xf borderId="0" fillId="8" fontId="8" numFmtId="2" xfId="0" applyAlignment="1" applyFont="1" applyNumberFormat="1">
      <alignment shrinkToFit="0" vertical="bottom" wrapText="0"/>
    </xf>
    <xf borderId="0" fillId="8" fontId="8" numFmtId="1" xfId="0" applyAlignment="1" applyFont="1" applyNumberFormat="1">
      <alignment shrinkToFit="0" vertical="bottom" wrapText="0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1.0</v>
      </c>
      <c r="C2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3" max="3" width="16.13"/>
  </cols>
  <sheetData>
    <row r="1">
      <c r="A1" s="3" t="s">
        <v>3</v>
      </c>
      <c r="E1" s="4"/>
    </row>
    <row r="2">
      <c r="A2" s="5"/>
      <c r="B2" s="4"/>
      <c r="C2" s="4"/>
      <c r="D2" s="4"/>
      <c r="E2" s="4"/>
    </row>
    <row r="3">
      <c r="A3" s="6" t="s">
        <v>4</v>
      </c>
      <c r="B3" s="4"/>
      <c r="C3" s="4"/>
      <c r="D3" s="4"/>
      <c r="E3" s="4"/>
    </row>
    <row r="4">
      <c r="A4" s="5"/>
      <c r="B4" s="5"/>
      <c r="C4" s="5"/>
      <c r="D4" s="7"/>
      <c r="E4" s="4"/>
    </row>
    <row r="5">
      <c r="A5" s="5" t="s">
        <v>5</v>
      </c>
      <c r="B5" s="5" t="s">
        <v>6</v>
      </c>
      <c r="C5" s="5" t="s">
        <v>7</v>
      </c>
      <c r="D5" s="7" t="s">
        <v>8</v>
      </c>
      <c r="E5" s="4"/>
    </row>
    <row r="6">
      <c r="A6" s="8" t="s">
        <v>9</v>
      </c>
      <c r="B6" s="8" t="s">
        <v>10</v>
      </c>
      <c r="C6" s="9">
        <f>Inputs!A2</f>
        <v>1</v>
      </c>
      <c r="D6" s="10" t="s">
        <v>11</v>
      </c>
      <c r="E6" s="4"/>
    </row>
    <row r="7">
      <c r="A7" s="8" t="s">
        <v>12</v>
      </c>
      <c r="B7" s="8" t="s">
        <v>13</v>
      </c>
      <c r="C7" s="9">
        <f>Inputs!B2</f>
        <v>1</v>
      </c>
      <c r="D7" s="10" t="s">
        <v>11</v>
      </c>
      <c r="E7" s="4"/>
    </row>
    <row r="8">
      <c r="A8" s="8" t="s">
        <v>14</v>
      </c>
      <c r="B8" s="8" t="s">
        <v>15</v>
      </c>
      <c r="C8" s="11" t="s">
        <v>16</v>
      </c>
      <c r="D8" s="10" t="s">
        <v>15</v>
      </c>
      <c r="E8" s="4"/>
    </row>
    <row r="9">
      <c r="A9" s="8" t="s">
        <v>17</v>
      </c>
      <c r="B9" s="8" t="s">
        <v>18</v>
      </c>
      <c r="C9" s="11">
        <v>30.0</v>
      </c>
      <c r="D9" s="10" t="s">
        <v>19</v>
      </c>
      <c r="E9" s="4"/>
    </row>
    <row r="10">
      <c r="A10" s="8" t="s">
        <v>20</v>
      </c>
      <c r="B10" s="8" t="s">
        <v>21</v>
      </c>
      <c r="C10" s="11">
        <v>500.0</v>
      </c>
      <c r="D10" s="10" t="s">
        <v>19</v>
      </c>
      <c r="E10" s="4"/>
    </row>
    <row r="11">
      <c r="A11" s="8" t="s">
        <v>22</v>
      </c>
      <c r="B11" s="8" t="s">
        <v>23</v>
      </c>
      <c r="C11" s="11">
        <v>50.0</v>
      </c>
      <c r="D11" s="10" t="s">
        <v>24</v>
      </c>
      <c r="E11" s="4"/>
    </row>
    <row r="12">
      <c r="A12" s="8" t="s">
        <v>25</v>
      </c>
      <c r="B12" s="8" t="s">
        <v>26</v>
      </c>
      <c r="C12" s="11">
        <v>3.0</v>
      </c>
      <c r="D12" s="10" t="s">
        <v>27</v>
      </c>
      <c r="E12" s="4"/>
    </row>
    <row r="13">
      <c r="A13" s="8" t="s">
        <v>28</v>
      </c>
      <c r="B13" s="8" t="s">
        <v>29</v>
      </c>
      <c r="C13" s="11">
        <v>1.0</v>
      </c>
      <c r="D13" s="10" t="s">
        <v>27</v>
      </c>
      <c r="E13" s="4"/>
    </row>
    <row r="14">
      <c r="A14" s="8" t="s">
        <v>30</v>
      </c>
      <c r="B14" s="8" t="s">
        <v>31</v>
      </c>
      <c r="C14" s="11">
        <v>16.0</v>
      </c>
      <c r="D14" s="10" t="s">
        <v>24</v>
      </c>
      <c r="E14" s="4"/>
    </row>
    <row r="15">
      <c r="A15" s="8" t="s">
        <v>32</v>
      </c>
      <c r="B15" s="8" t="s">
        <v>33</v>
      </c>
      <c r="C15" s="11">
        <v>12.0</v>
      </c>
      <c r="D15" s="10" t="s">
        <v>24</v>
      </c>
      <c r="E15" s="4"/>
    </row>
    <row r="16">
      <c r="A16" s="5"/>
      <c r="B16" s="4"/>
      <c r="C16" s="12"/>
      <c r="D16" s="4"/>
      <c r="E16" s="4"/>
    </row>
    <row r="17">
      <c r="A17" s="6" t="s">
        <v>34</v>
      </c>
      <c r="B17" s="4"/>
      <c r="C17" s="12"/>
      <c r="D17" s="4"/>
      <c r="E17" s="4"/>
    </row>
    <row r="18">
      <c r="A18" s="8"/>
      <c r="B18" s="8"/>
      <c r="C18" s="12"/>
      <c r="D18" s="8"/>
      <c r="E18" s="4"/>
    </row>
    <row r="19">
      <c r="A19" s="8" t="s">
        <v>35</v>
      </c>
      <c r="B19" s="8" t="s">
        <v>36</v>
      </c>
      <c r="C19" s="12">
        <f>C7/C6</f>
        <v>1</v>
      </c>
      <c r="D19" s="8" t="s">
        <v>15</v>
      </c>
      <c r="E19" s="4"/>
    </row>
    <row r="20">
      <c r="A20" s="8" t="s">
        <v>37</v>
      </c>
      <c r="B20" s="8" t="s">
        <v>15</v>
      </c>
      <c r="C20" s="13">
        <v>28.0</v>
      </c>
      <c r="D20" s="8" t="s">
        <v>15</v>
      </c>
      <c r="E20" s="4"/>
    </row>
    <row r="21">
      <c r="A21" s="8" t="s">
        <v>38</v>
      </c>
      <c r="B21" s="8" t="s">
        <v>39</v>
      </c>
      <c r="C21" s="12">
        <f>MROUND(C7*1000/C20,50)</f>
        <v>50</v>
      </c>
      <c r="D21" s="8" t="s">
        <v>24</v>
      </c>
      <c r="E21" s="4"/>
    </row>
    <row r="22">
      <c r="A22" s="8" t="s">
        <v>40</v>
      </c>
      <c r="B22" s="8" t="s">
        <v>41</v>
      </c>
      <c r="C22" s="12">
        <f>MAX(150,ROUNDUP(C21/10,0)*10+50)</f>
        <v>150</v>
      </c>
      <c r="D22" s="8" t="s">
        <v>24</v>
      </c>
      <c r="E22" s="4"/>
    </row>
    <row r="23">
      <c r="A23" s="8" t="s">
        <v>42</v>
      </c>
      <c r="B23" s="8" t="s">
        <v>43</v>
      </c>
      <c r="C23" s="12">
        <f>C22-C11-C14/2</f>
        <v>92</v>
      </c>
      <c r="D23" s="8" t="s">
        <v>24</v>
      </c>
      <c r="E23" s="4"/>
    </row>
    <row r="24">
      <c r="A24" s="8" t="s">
        <v>44</v>
      </c>
      <c r="B24" s="8" t="s">
        <v>45</v>
      </c>
      <c r="C24" s="12">
        <f>C22-C11-C14-C15/2</f>
        <v>78</v>
      </c>
      <c r="D24" s="8" t="s">
        <v>24</v>
      </c>
      <c r="E24" s="4"/>
    </row>
    <row r="25">
      <c r="A25" s="4"/>
      <c r="B25" s="4"/>
      <c r="C25" s="12"/>
      <c r="D25" s="4"/>
      <c r="E25" s="4"/>
    </row>
    <row r="26">
      <c r="A26" s="6" t="s">
        <v>46</v>
      </c>
      <c r="B26" s="4"/>
      <c r="C26" s="12"/>
      <c r="D26" s="4"/>
      <c r="E26" s="4"/>
    </row>
    <row r="27">
      <c r="A27" s="8"/>
      <c r="B27" s="8"/>
      <c r="C27" s="12"/>
      <c r="D27" s="8"/>
      <c r="E27" s="4"/>
    </row>
    <row r="28">
      <c r="A28" s="8" t="s">
        <v>47</v>
      </c>
      <c r="B28" s="8" t="s">
        <v>48</v>
      </c>
      <c r="C28" s="12">
        <f>(C22/1000)*25</f>
        <v>3.75</v>
      </c>
      <c r="D28" s="8" t="s">
        <v>27</v>
      </c>
      <c r="E28" s="4"/>
    </row>
    <row r="29">
      <c r="A29" s="8" t="s">
        <v>28</v>
      </c>
      <c r="B29" s="8" t="s">
        <v>29</v>
      </c>
      <c r="C29" s="12">
        <f>C13</f>
        <v>1</v>
      </c>
      <c r="D29" s="8" t="s">
        <v>27</v>
      </c>
      <c r="E29" s="4"/>
    </row>
    <row r="30">
      <c r="A30" s="8" t="s">
        <v>25</v>
      </c>
      <c r="B30" s="8" t="s">
        <v>26</v>
      </c>
      <c r="C30" s="12">
        <f>C12</f>
        <v>3</v>
      </c>
      <c r="D30" s="8" t="s">
        <v>27</v>
      </c>
      <c r="E30" s="4"/>
    </row>
    <row r="31">
      <c r="A31" s="5" t="s">
        <v>49</v>
      </c>
      <c r="B31" s="8" t="s">
        <v>50</v>
      </c>
      <c r="C31" s="12">
        <f>C28+C29+C30</f>
        <v>7.75</v>
      </c>
      <c r="D31" s="8" t="s">
        <v>27</v>
      </c>
      <c r="E31" s="4"/>
    </row>
    <row r="32">
      <c r="A32" s="5" t="s">
        <v>51</v>
      </c>
      <c r="B32" s="4"/>
      <c r="C32" s="12"/>
      <c r="D32" s="4"/>
      <c r="E32" s="4"/>
    </row>
    <row r="33">
      <c r="A33" s="8" t="s">
        <v>52</v>
      </c>
      <c r="B33" s="8" t="s">
        <v>53</v>
      </c>
      <c r="C33" s="13">
        <v>1.5</v>
      </c>
      <c r="D33" s="8" t="s">
        <v>15</v>
      </c>
      <c r="E33" s="4"/>
    </row>
    <row r="34">
      <c r="A34" s="8" t="s">
        <v>54</v>
      </c>
      <c r="B34" s="8" t="s">
        <v>55</v>
      </c>
      <c r="C34" s="13">
        <v>1.5</v>
      </c>
      <c r="D34" s="8" t="s">
        <v>15</v>
      </c>
      <c r="E34" s="4"/>
    </row>
    <row r="35">
      <c r="A35" s="8" t="s">
        <v>56</v>
      </c>
      <c r="B35" s="8" t="s">
        <v>57</v>
      </c>
      <c r="C35" s="12">
        <f>(C28+C29)*C33</f>
        <v>7.125</v>
      </c>
      <c r="D35" s="8" t="s">
        <v>27</v>
      </c>
      <c r="E35" s="4"/>
    </row>
    <row r="36">
      <c r="A36" s="8" t="s">
        <v>58</v>
      </c>
      <c r="B36" s="8" t="s">
        <v>59</v>
      </c>
      <c r="C36" s="12">
        <f>C30*C34</f>
        <v>4.5</v>
      </c>
      <c r="D36" s="8" t="s">
        <v>27</v>
      </c>
      <c r="E36" s="4"/>
    </row>
    <row r="37">
      <c r="A37" s="5" t="s">
        <v>60</v>
      </c>
      <c r="B37" s="8" t="s">
        <v>61</v>
      </c>
      <c r="C37" s="12">
        <f>C35+C36</f>
        <v>11.625</v>
      </c>
      <c r="D37" s="8" t="s">
        <v>27</v>
      </c>
      <c r="E37" s="4"/>
    </row>
    <row r="38">
      <c r="A38" s="5"/>
      <c r="B38" s="4"/>
      <c r="C38" s="12"/>
      <c r="D38" s="4"/>
      <c r="E38" s="4"/>
    </row>
    <row r="39">
      <c r="A39" s="6" t="s">
        <v>62</v>
      </c>
      <c r="B39" s="4"/>
      <c r="C39" s="12"/>
      <c r="D39" s="4"/>
      <c r="E39" s="4"/>
    </row>
    <row r="40">
      <c r="A40" s="8"/>
      <c r="B40" s="8"/>
      <c r="C40" s="12"/>
      <c r="D40" s="8"/>
      <c r="E40" s="4"/>
    </row>
    <row r="41">
      <c r="A41" s="8" t="s">
        <v>63</v>
      </c>
      <c r="B41" s="8" t="s">
        <v>64</v>
      </c>
      <c r="C41" s="12">
        <f>C37*C6*C7</f>
        <v>11.625</v>
      </c>
      <c r="D41" s="8" t="s">
        <v>65</v>
      </c>
      <c r="E41" s="4"/>
    </row>
    <row r="42">
      <c r="A42" s="5" t="s">
        <v>66</v>
      </c>
      <c r="B42" s="4"/>
      <c r="C42" s="12"/>
      <c r="D42" s="4"/>
      <c r="E42" s="4"/>
    </row>
    <row r="43">
      <c r="A43" s="8" t="s">
        <v>67</v>
      </c>
      <c r="B43" s="8" t="s">
        <v>68</v>
      </c>
      <c r="C43" s="12">
        <f>C7/2*C6</f>
        <v>0.5</v>
      </c>
      <c r="D43" s="8" t="s">
        <v>69</v>
      </c>
      <c r="E43" s="4"/>
    </row>
    <row r="44">
      <c r="A44" s="14" t="s">
        <v>70</v>
      </c>
      <c r="B44" s="8" t="s">
        <v>71</v>
      </c>
      <c r="C44" s="12">
        <f>C37*C43</f>
        <v>5.8125</v>
      </c>
      <c r="D44" s="8" t="s">
        <v>65</v>
      </c>
      <c r="E44" s="4"/>
    </row>
    <row r="45">
      <c r="A45" s="8" t="s">
        <v>72</v>
      </c>
      <c r="B45" s="8" t="s">
        <v>73</v>
      </c>
      <c r="C45" s="12">
        <f>C44/C6</f>
        <v>5.8125</v>
      </c>
      <c r="D45" s="8" t="s">
        <v>74</v>
      </c>
      <c r="E45" s="4"/>
    </row>
    <row r="46">
      <c r="A46" s="5" t="s">
        <v>75</v>
      </c>
      <c r="B46" s="4"/>
      <c r="C46" s="12"/>
      <c r="D46" s="4"/>
      <c r="E46" s="4"/>
    </row>
    <row r="47">
      <c r="A47" s="8" t="s">
        <v>76</v>
      </c>
      <c r="B47" s="8" t="s">
        <v>77</v>
      </c>
      <c r="C47" s="12">
        <f>C6/2*C7</f>
        <v>0.5</v>
      </c>
      <c r="D47" s="8" t="s">
        <v>69</v>
      </c>
      <c r="E47" s="4"/>
    </row>
    <row r="48">
      <c r="A48" s="8" t="s">
        <v>78</v>
      </c>
      <c r="B48" s="8" t="s">
        <v>79</v>
      </c>
      <c r="C48" s="12">
        <f>C37*C47</f>
        <v>5.8125</v>
      </c>
      <c r="D48" s="8" t="s">
        <v>65</v>
      </c>
      <c r="E48" s="4"/>
    </row>
    <row r="49">
      <c r="A49" s="14" t="s">
        <v>80</v>
      </c>
      <c r="B49" s="8" t="s">
        <v>81</v>
      </c>
      <c r="C49" s="12">
        <f>C48/C7</f>
        <v>5.8125</v>
      </c>
      <c r="D49" s="8" t="s">
        <v>74</v>
      </c>
      <c r="E49" s="4"/>
    </row>
    <row r="50">
      <c r="A50" s="4"/>
      <c r="B50" s="4"/>
      <c r="C50" s="12"/>
      <c r="D50" s="4"/>
      <c r="E50" s="4"/>
    </row>
    <row r="51">
      <c r="A51" s="6" t="s">
        <v>82</v>
      </c>
      <c r="B51" s="4"/>
      <c r="C51" s="12"/>
      <c r="D51" s="4"/>
      <c r="E51" s="4"/>
    </row>
    <row r="52">
      <c r="A52" s="8"/>
      <c r="B52" s="8"/>
      <c r="C52" s="12"/>
      <c r="D52" s="8"/>
      <c r="E52" s="4"/>
    </row>
    <row r="53">
      <c r="A53" s="8" t="s">
        <v>83</v>
      </c>
      <c r="B53" s="8" t="s">
        <v>84</v>
      </c>
      <c r="C53" s="12">
        <f>C19</f>
        <v>1</v>
      </c>
      <c r="D53" s="8" t="s">
        <v>15</v>
      </c>
      <c r="E53" s="4"/>
    </row>
    <row r="54">
      <c r="A54" s="15" t="s">
        <v>85</v>
      </c>
      <c r="B54" s="4"/>
      <c r="C54" s="12"/>
      <c r="D54" s="4"/>
      <c r="E54" s="4"/>
    </row>
    <row r="55">
      <c r="A55" s="8" t="s">
        <v>86</v>
      </c>
      <c r="B55" s="4"/>
      <c r="C55" s="12"/>
      <c r="D55" s="4"/>
      <c r="E55" s="4"/>
    </row>
    <row r="56">
      <c r="A56" s="8" t="s">
        <v>87</v>
      </c>
      <c r="B56" s="8" t="s">
        <v>88</v>
      </c>
      <c r="C56" s="16">
        <f>IF(C53&lt;=0.5,0.032,IF(C53&lt;=0.55,0.037,IF(C53&lt;=0.6,0.043,IF(C53&lt;=0.65,0.049,IF(C53&lt;=0.7,0.055,IF(C53&lt;=0.75,0.061,IF(C53&lt;=0.8,0.068,IF(C53&lt;=0.85,0.074,IF(C53&lt;=0.9,0.081,IF(C53&lt;=0.95,0.087,0.093))))))))))</f>
        <v>0.093</v>
      </c>
      <c r="D56" s="8" t="s">
        <v>15</v>
      </c>
      <c r="E56" s="4"/>
    </row>
    <row r="57">
      <c r="A57" s="8" t="s">
        <v>89</v>
      </c>
      <c r="B57" s="8" t="s">
        <v>90</v>
      </c>
      <c r="C57" s="16">
        <f>IF(C53&lt;=0.5,0.024,IF(C53&lt;=0.55,0.028,IF(C53&lt;=0.6,0.032,IF(C53&lt;=0.65,0.036,IF(C53&lt;=0.7,0.041,IF(C53&lt;=0.75,0.045,IF(C53&lt;=0.8,0.05,IF(C53&lt;=0.85,0.055,IF(C53&lt;=0.9,0.06,IF(C53&lt;=0.95,0.065,0.069))))))))))</f>
        <v>0.069</v>
      </c>
      <c r="D57" s="8" t="s">
        <v>15</v>
      </c>
      <c r="E57" s="4"/>
    </row>
    <row r="58">
      <c r="A58" s="8" t="s">
        <v>91</v>
      </c>
      <c r="B58" s="8" t="s">
        <v>92</v>
      </c>
      <c r="C58" s="16">
        <f>IF(C53&lt;=0.5,0.032,IF(C53&lt;=0.55,0.035,IF(C53&lt;=0.6,0.037,IF(C53&lt;=0.65,0.04,IF(C53&lt;=0.7,0.043,IF(C53&lt;=0.75,0.045,IF(C53&lt;=0.8,0.048,IF(C53&lt;=0.85,0.051,IF(C53&lt;=0.9,0.053,IF(C53&lt;=0.95,0.056,0.058))))))))))</f>
        <v>0.058</v>
      </c>
      <c r="D58" s="8" t="s">
        <v>15</v>
      </c>
      <c r="E58" s="4"/>
    </row>
    <row r="59">
      <c r="A59" s="8" t="s">
        <v>93</v>
      </c>
      <c r="B59" s="8" t="s">
        <v>94</v>
      </c>
      <c r="C59" s="16">
        <f>IF(C53&lt;=0.5,0.024,IF(C53&lt;=0.55,0.026,IF(C53&lt;=0.6,0.028,IF(C53&lt;=0.65,0.03,IF(C53&lt;=0.7,0.032,IF(C53&lt;=0.75,0.034,IF(C53&lt;=0.8,0.035,IF(C53&lt;=0.85,0.037,IF(C53&lt;=0.9,0.039,IF(C53&lt;=0.95,0.041,0.042))))))))))</f>
        <v>0.042</v>
      </c>
      <c r="D59" s="8" t="s">
        <v>15</v>
      </c>
      <c r="E59" s="4"/>
    </row>
    <row r="60">
      <c r="A60" s="15" t="s">
        <v>95</v>
      </c>
      <c r="B60" s="4"/>
      <c r="C60" s="12"/>
      <c r="D60" s="4"/>
      <c r="E60" s="4"/>
    </row>
    <row r="61">
      <c r="A61" s="8" t="s">
        <v>96</v>
      </c>
      <c r="B61" s="8" t="s">
        <v>97</v>
      </c>
      <c r="C61" s="12">
        <f>C56*C37*C7^2</f>
        <v>1.081125</v>
      </c>
      <c r="D61" s="8" t="s">
        <v>98</v>
      </c>
      <c r="E61" s="4"/>
    </row>
    <row r="62">
      <c r="A62" s="8" t="s">
        <v>99</v>
      </c>
      <c r="B62" s="8" t="s">
        <v>100</v>
      </c>
      <c r="C62" s="12">
        <f>C57*C37*C7^2</f>
        <v>0.802125</v>
      </c>
      <c r="D62" s="8" t="s">
        <v>98</v>
      </c>
      <c r="E62" s="4"/>
    </row>
    <row r="63">
      <c r="A63" s="8" t="s">
        <v>101</v>
      </c>
      <c r="B63" s="8" t="s">
        <v>102</v>
      </c>
      <c r="C63" s="12">
        <f>C58*C37*C7^2</f>
        <v>0.67425</v>
      </c>
      <c r="D63" s="8" t="s">
        <v>98</v>
      </c>
      <c r="E63" s="4"/>
    </row>
    <row r="64">
      <c r="A64" s="8" t="s">
        <v>103</v>
      </c>
      <c r="B64" s="8" t="s">
        <v>104</v>
      </c>
      <c r="C64" s="12">
        <f>C59*C37*C7^2</f>
        <v>0.48825</v>
      </c>
      <c r="D64" s="8" t="s">
        <v>98</v>
      </c>
      <c r="E64" s="4"/>
    </row>
    <row r="65">
      <c r="A65" s="4"/>
      <c r="B65" s="4"/>
      <c r="C65" s="12"/>
      <c r="D65" s="4"/>
      <c r="E65" s="4"/>
    </row>
    <row r="66">
      <c r="A66" s="6" t="s">
        <v>105</v>
      </c>
      <c r="B66" s="4"/>
      <c r="C66" s="12"/>
      <c r="D66" s="4"/>
      <c r="E66" s="4"/>
    </row>
    <row r="67">
      <c r="A67" s="6"/>
      <c r="B67" s="4"/>
      <c r="C67" s="12"/>
      <c r="D67" s="4"/>
      <c r="E67" s="4"/>
    </row>
    <row r="68">
      <c r="A68" s="15" t="s">
        <v>106</v>
      </c>
      <c r="B68" s="4"/>
      <c r="C68" s="12"/>
      <c r="D68" s="4"/>
      <c r="E68" s="4"/>
    </row>
    <row r="69">
      <c r="A69" s="8" t="s">
        <v>107</v>
      </c>
      <c r="B69" s="8" t="s">
        <v>108</v>
      </c>
      <c r="C69" s="12">
        <f>C61*1000000</f>
        <v>1081125</v>
      </c>
      <c r="D69" s="8" t="s">
        <v>109</v>
      </c>
      <c r="E69" s="4"/>
    </row>
    <row r="70">
      <c r="A70" s="8" t="s">
        <v>110</v>
      </c>
      <c r="B70" s="8" t="s">
        <v>39</v>
      </c>
      <c r="C70" s="12">
        <f>C23</f>
        <v>92</v>
      </c>
      <c r="D70" s="8" t="s">
        <v>24</v>
      </c>
      <c r="E70" s="4"/>
    </row>
    <row r="71">
      <c r="A71" s="8" t="s">
        <v>111</v>
      </c>
      <c r="B71" s="8" t="s">
        <v>112</v>
      </c>
      <c r="C71" s="12">
        <f>C69/(1000*C70^2)</f>
        <v>0.1277321597</v>
      </c>
      <c r="D71" s="8" t="s">
        <v>113</v>
      </c>
      <c r="E71" s="4"/>
    </row>
    <row r="72">
      <c r="A72" s="8" t="s">
        <v>114</v>
      </c>
      <c r="B72" s="8" t="s">
        <v>115</v>
      </c>
      <c r="C72" s="17">
        <f>(0.5*C9/C10)*(1-SQRT(1-(4.6*C71/C9)))</f>
        <v>0.0002952367127</v>
      </c>
      <c r="D72" s="8" t="s">
        <v>15</v>
      </c>
      <c r="E72" s="4"/>
    </row>
    <row r="73">
      <c r="A73" s="5" t="s">
        <v>116</v>
      </c>
      <c r="B73" s="8" t="s">
        <v>117</v>
      </c>
      <c r="C73" s="18">
        <v>0.0012</v>
      </c>
      <c r="D73" s="8" t="s">
        <v>15</v>
      </c>
      <c r="E73" s="4"/>
    </row>
    <row r="74">
      <c r="A74" s="8" t="s">
        <v>118</v>
      </c>
      <c r="B74" s="8" t="s">
        <v>119</v>
      </c>
      <c r="C74" s="17">
        <f>MAX(C72,C73)</f>
        <v>0.0012</v>
      </c>
      <c r="D74" s="8" t="s">
        <v>15</v>
      </c>
      <c r="E74" s="4"/>
    </row>
    <row r="75">
      <c r="A75" s="5" t="s">
        <v>120</v>
      </c>
      <c r="B75" s="8" t="s">
        <v>121</v>
      </c>
      <c r="C75" s="12">
        <f>C74*1000*C70</f>
        <v>110.4</v>
      </c>
      <c r="D75" s="8" t="s">
        <v>122</v>
      </c>
      <c r="E75" s="4"/>
    </row>
    <row r="76">
      <c r="A76" s="8" t="s">
        <v>123</v>
      </c>
      <c r="B76" s="8" t="s">
        <v>124</v>
      </c>
      <c r="C76" s="12">
        <f>PI()*C14^2/4</f>
        <v>201.0619298</v>
      </c>
      <c r="D76" s="8" t="s">
        <v>125</v>
      </c>
      <c r="E76" s="4"/>
    </row>
    <row r="77">
      <c r="A77" s="8" t="s">
        <v>126</v>
      </c>
      <c r="B77" s="8" t="s">
        <v>127</v>
      </c>
      <c r="C77" s="12">
        <f>C76*1000/C75</f>
        <v>1821.213133</v>
      </c>
      <c r="D77" s="8" t="s">
        <v>24</v>
      </c>
      <c r="E77" s="4"/>
    </row>
    <row r="78">
      <c r="A78" s="8" t="s">
        <v>128</v>
      </c>
      <c r="B78" s="8" t="s">
        <v>129</v>
      </c>
      <c r="C78" s="12">
        <f>MROUND(MIN(3*C70,300),50)</f>
        <v>300</v>
      </c>
      <c r="D78" s="8" t="s">
        <v>24</v>
      </c>
      <c r="E78" s="4"/>
    </row>
    <row r="79">
      <c r="A79" s="8" t="s">
        <v>130</v>
      </c>
      <c r="B79" s="8" t="s">
        <v>131</v>
      </c>
      <c r="C79" s="12">
        <f>MIN(C78,ROUNDDOWN(C77/10,0)*10)</f>
        <v>300</v>
      </c>
      <c r="D79" s="8" t="s">
        <v>132</v>
      </c>
      <c r="E79" s="4"/>
    </row>
    <row r="80">
      <c r="A80" s="8" t="s">
        <v>133</v>
      </c>
      <c r="B80" s="8" t="s">
        <v>134</v>
      </c>
      <c r="C80" s="12">
        <f>C76*1000/C79</f>
        <v>670.2064328</v>
      </c>
      <c r="D80" s="8" t="s">
        <v>122</v>
      </c>
      <c r="E80" s="4"/>
    </row>
    <row r="81">
      <c r="A81" s="15" t="s">
        <v>135</v>
      </c>
      <c r="B81" s="4"/>
      <c r="C81" s="12"/>
      <c r="D81" s="4"/>
      <c r="E81" s="4"/>
    </row>
    <row r="82">
      <c r="A82" s="8" t="s">
        <v>107</v>
      </c>
      <c r="B82" s="8" t="s">
        <v>108</v>
      </c>
      <c r="C82" s="12">
        <f>C62*1000000</f>
        <v>802125</v>
      </c>
      <c r="D82" s="8" t="s">
        <v>109</v>
      </c>
      <c r="E82" s="4"/>
    </row>
    <row r="83">
      <c r="A83" s="8" t="s">
        <v>120</v>
      </c>
      <c r="B83" s="8" t="s">
        <v>121</v>
      </c>
      <c r="C83" s="12">
        <f>MAX((0.5*C9/C10)*(1-SQRT(1-(4.6*(C82/(1000*C70^2))/C9)))*1000*C70,C73*1000*C70)</f>
        <v>110.4</v>
      </c>
      <c r="D83" s="8" t="s">
        <v>122</v>
      </c>
      <c r="E83" s="4"/>
    </row>
    <row r="84">
      <c r="A84" s="8" t="s">
        <v>126</v>
      </c>
      <c r="B84" s="8" t="s">
        <v>127</v>
      </c>
      <c r="C84" s="12">
        <f>C76*1000/C83</f>
        <v>1821.213133</v>
      </c>
      <c r="D84" s="8" t="s">
        <v>24</v>
      </c>
      <c r="E84" s="4"/>
    </row>
    <row r="85">
      <c r="A85" s="8" t="s">
        <v>130</v>
      </c>
      <c r="B85" s="8" t="s">
        <v>131</v>
      </c>
      <c r="C85" s="12">
        <f>MIN(C78,ROUNDDOWN(C84/10,0)*10)</f>
        <v>300</v>
      </c>
      <c r="D85" s="8" t="s">
        <v>132</v>
      </c>
      <c r="E85" s="4"/>
    </row>
    <row r="86">
      <c r="A86" s="8" t="s">
        <v>133</v>
      </c>
      <c r="B86" s="8" t="s">
        <v>134</v>
      </c>
      <c r="C86" s="12">
        <f>C76*1000/C85</f>
        <v>670.2064328</v>
      </c>
      <c r="D86" s="8" t="s">
        <v>122</v>
      </c>
      <c r="E86" s="4"/>
    </row>
    <row r="87">
      <c r="A87" s="4"/>
      <c r="B87" s="4"/>
      <c r="C87" s="12"/>
      <c r="D87" s="4"/>
      <c r="E87" s="4"/>
    </row>
    <row r="88">
      <c r="A88" s="15" t="s">
        <v>136</v>
      </c>
      <c r="B88" s="4"/>
      <c r="C88" s="12"/>
      <c r="D88" s="4"/>
      <c r="E88" s="4"/>
    </row>
    <row r="89">
      <c r="A89" s="8" t="s">
        <v>137</v>
      </c>
      <c r="B89" s="8" t="s">
        <v>15</v>
      </c>
      <c r="C89" s="12" t="str">
        <f>C14&amp;"mm φ @ "&amp;C79&amp;" mm c/c"</f>
        <v>16mm φ @ 300 mm c/c</v>
      </c>
      <c r="D89" s="4"/>
      <c r="E89" s="4"/>
    </row>
    <row r="90">
      <c r="A90" s="8" t="s">
        <v>138</v>
      </c>
      <c r="B90" s="8" t="s">
        <v>15</v>
      </c>
      <c r="C90" s="12" t="str">
        <f>C14&amp;"mm φ @ "&amp;C85&amp;" mm c/c"</f>
        <v>16mm φ @ 300 mm c/c</v>
      </c>
      <c r="D90" s="4"/>
      <c r="E90" s="4"/>
    </row>
    <row r="91">
      <c r="A91" s="4"/>
      <c r="B91" s="4"/>
      <c r="C91" s="12"/>
      <c r="D91" s="4"/>
      <c r="E91" s="4"/>
    </row>
    <row r="92">
      <c r="A92" s="6" t="s">
        <v>139</v>
      </c>
      <c r="B92" s="4"/>
      <c r="C92" s="12"/>
      <c r="D92" s="4"/>
      <c r="E92" s="4"/>
    </row>
    <row r="93">
      <c r="A93" s="4"/>
      <c r="B93" s="4"/>
      <c r="C93" s="12"/>
      <c r="D93" s="4"/>
      <c r="E93" s="4"/>
    </row>
    <row r="94">
      <c r="A94" s="15" t="s">
        <v>106</v>
      </c>
      <c r="B94" s="4"/>
      <c r="C94" s="12"/>
      <c r="D94" s="4"/>
      <c r="E94" s="4"/>
    </row>
    <row r="95">
      <c r="A95" s="8" t="s">
        <v>107</v>
      </c>
      <c r="B95" s="8" t="s">
        <v>108</v>
      </c>
      <c r="C95" s="12">
        <f>C63*1000000</f>
        <v>674250</v>
      </c>
      <c r="D95" s="8" t="s">
        <v>109</v>
      </c>
      <c r="E95" s="4"/>
    </row>
    <row r="96">
      <c r="A96" s="8" t="s">
        <v>110</v>
      </c>
      <c r="B96" s="8" t="s">
        <v>39</v>
      </c>
      <c r="C96" s="12">
        <f>C24</f>
        <v>78</v>
      </c>
      <c r="D96" s="8" t="s">
        <v>24</v>
      </c>
      <c r="E96" s="4"/>
    </row>
    <row r="97">
      <c r="A97" s="8" t="s">
        <v>111</v>
      </c>
      <c r="B97" s="8" t="s">
        <v>112</v>
      </c>
      <c r="C97" s="12">
        <f>C95/(1000*C96^2)</f>
        <v>0.1108234714</v>
      </c>
      <c r="D97" s="8" t="s">
        <v>113</v>
      </c>
      <c r="E97" s="4"/>
    </row>
    <row r="98">
      <c r="A98" s="8" t="s">
        <v>114</v>
      </c>
      <c r="B98" s="8" t="s">
        <v>115</v>
      </c>
      <c r="C98" s="12">
        <f>(0.5*C9/C10)*(1-SQRT(1-(4.6*C97/C9)))</f>
        <v>0.0002559861326</v>
      </c>
      <c r="D98" s="8" t="s">
        <v>15</v>
      </c>
      <c r="E98" s="4"/>
    </row>
    <row r="99">
      <c r="A99" s="5" t="s">
        <v>116</v>
      </c>
      <c r="B99" s="8" t="s">
        <v>117</v>
      </c>
      <c r="C99" s="19">
        <v>0.0012</v>
      </c>
      <c r="D99" s="8" t="s">
        <v>15</v>
      </c>
      <c r="E99" s="4"/>
    </row>
    <row r="100">
      <c r="A100" s="8" t="s">
        <v>118</v>
      </c>
      <c r="B100" s="8" t="s">
        <v>119</v>
      </c>
      <c r="C100" s="12">
        <f>MAX(C98,C99)</f>
        <v>0.0012</v>
      </c>
      <c r="D100" s="8" t="s">
        <v>15</v>
      </c>
      <c r="E100" s="4"/>
    </row>
    <row r="101">
      <c r="A101" s="8" t="s">
        <v>120</v>
      </c>
      <c r="B101" s="8" t="s">
        <v>121</v>
      </c>
      <c r="C101" s="12">
        <f>C100*1000*C96</f>
        <v>93.6</v>
      </c>
      <c r="D101" s="8" t="s">
        <v>122</v>
      </c>
      <c r="E101" s="4"/>
    </row>
    <row r="102">
      <c r="A102" s="8" t="s">
        <v>123</v>
      </c>
      <c r="B102" s="8" t="s">
        <v>124</v>
      </c>
      <c r="C102" s="12">
        <f>PI()*C15^2/4</f>
        <v>113.0973355</v>
      </c>
      <c r="D102" s="8" t="s">
        <v>125</v>
      </c>
      <c r="E102" s="4"/>
    </row>
    <row r="103">
      <c r="A103" s="8" t="s">
        <v>126</v>
      </c>
      <c r="B103" s="8" t="s">
        <v>127</v>
      </c>
      <c r="C103" s="12">
        <f>C102*1000/C101</f>
        <v>1208.304867</v>
      </c>
      <c r="D103" s="8" t="s">
        <v>24</v>
      </c>
      <c r="E103" s="4"/>
    </row>
    <row r="104">
      <c r="A104" s="5" t="s">
        <v>128</v>
      </c>
      <c r="B104" s="8" t="s">
        <v>129</v>
      </c>
      <c r="C104" s="12">
        <f>MROUND(MIN(3*C96,300),50)</f>
        <v>250</v>
      </c>
      <c r="D104" s="8" t="s">
        <v>24</v>
      </c>
      <c r="E104" s="4"/>
    </row>
    <row r="105">
      <c r="A105" s="8" t="s">
        <v>130</v>
      </c>
      <c r="B105" s="8" t="s">
        <v>131</v>
      </c>
      <c r="C105" s="12">
        <f>MIN(C104,ROUNDDOWN(C103/10,0)*10)</f>
        <v>250</v>
      </c>
      <c r="D105" s="8" t="s">
        <v>132</v>
      </c>
      <c r="E105" s="4"/>
    </row>
    <row r="106">
      <c r="A106" s="8" t="s">
        <v>133</v>
      </c>
      <c r="B106" s="8" t="s">
        <v>134</v>
      </c>
      <c r="C106" s="12">
        <f>C102*1000/C105</f>
        <v>452.3893421</v>
      </c>
      <c r="D106" s="8" t="s">
        <v>122</v>
      </c>
      <c r="E106" s="4"/>
    </row>
    <row r="107">
      <c r="A107" s="15" t="s">
        <v>135</v>
      </c>
      <c r="B107" s="4"/>
      <c r="C107" s="12"/>
      <c r="D107" s="4"/>
      <c r="E107" s="4"/>
    </row>
    <row r="108">
      <c r="A108" s="8" t="s">
        <v>107</v>
      </c>
      <c r="B108" s="8" t="s">
        <v>108</v>
      </c>
      <c r="C108" s="12">
        <f>C64*1000000</f>
        <v>488250</v>
      </c>
      <c r="D108" s="8" t="s">
        <v>109</v>
      </c>
      <c r="E108" s="4"/>
    </row>
    <row r="109">
      <c r="A109" s="8" t="s">
        <v>120</v>
      </c>
      <c r="B109" s="8" t="s">
        <v>121</v>
      </c>
      <c r="C109" s="12">
        <f>MAX((0.5*C9/C10)*(1-SQRT(1-(4.6*(C108/(1000*C96^2))/C9)))*1000*C96,C99*1000*C96)</f>
        <v>93.6</v>
      </c>
      <c r="D109" s="8" t="s">
        <v>122</v>
      </c>
      <c r="E109" s="4"/>
    </row>
    <row r="110">
      <c r="A110" s="8" t="s">
        <v>126</v>
      </c>
      <c r="B110" s="8" t="s">
        <v>127</v>
      </c>
      <c r="C110" s="12">
        <f>C102*1000/C109</f>
        <v>1208.304867</v>
      </c>
      <c r="D110" s="8" t="s">
        <v>24</v>
      </c>
      <c r="E110" s="4"/>
    </row>
    <row r="111">
      <c r="A111" s="14" t="s">
        <v>130</v>
      </c>
      <c r="B111" s="8" t="s">
        <v>131</v>
      </c>
      <c r="C111" s="12">
        <f>MIN(C104,ROUNDDOWN(C110/10,0)*10)</f>
        <v>250</v>
      </c>
      <c r="D111" s="8" t="s">
        <v>132</v>
      </c>
      <c r="E111" s="4"/>
    </row>
    <row r="112">
      <c r="A112" s="8" t="s">
        <v>133</v>
      </c>
      <c r="B112" s="8" t="s">
        <v>134</v>
      </c>
      <c r="C112" s="12">
        <f>C102*1000/C111</f>
        <v>452.3893421</v>
      </c>
      <c r="D112" s="8" t="s">
        <v>122</v>
      </c>
      <c r="E112" s="4"/>
    </row>
    <row r="113">
      <c r="A113" s="4"/>
      <c r="B113" s="4"/>
      <c r="C113" s="12"/>
      <c r="D113" s="4"/>
      <c r="E113" s="4"/>
    </row>
    <row r="114">
      <c r="A114" s="5" t="s">
        <v>140</v>
      </c>
      <c r="B114" s="4"/>
      <c r="C114" s="12"/>
      <c r="D114" s="4"/>
      <c r="E114" s="4"/>
    </row>
    <row r="115">
      <c r="A115" s="8" t="s">
        <v>137</v>
      </c>
      <c r="B115" s="8" t="s">
        <v>15</v>
      </c>
      <c r="C115" s="12" t="str">
        <f>C15&amp;"mm φ @ "&amp;C105&amp;" mm c/c"</f>
        <v>12mm φ @ 250 mm c/c</v>
      </c>
      <c r="D115" s="4"/>
      <c r="E115" s="4"/>
    </row>
    <row r="116">
      <c r="A116" s="8" t="s">
        <v>138</v>
      </c>
      <c r="B116" s="8" t="s">
        <v>15</v>
      </c>
      <c r="C116" s="12" t="str">
        <f>C15&amp;"mm φ @ "&amp;C111&amp;" mm c/c"</f>
        <v>12mm φ @ 250 mm c/c</v>
      </c>
      <c r="D116" s="4"/>
      <c r="E116" s="4"/>
    </row>
    <row r="117">
      <c r="A117" s="5"/>
      <c r="B117" s="4"/>
      <c r="C117" s="12"/>
      <c r="D117" s="4"/>
      <c r="E117" s="4"/>
    </row>
    <row r="118">
      <c r="A118" s="6" t="s">
        <v>141</v>
      </c>
      <c r="B118" s="4"/>
      <c r="C118" s="12"/>
      <c r="D118" s="4"/>
      <c r="E118" s="4"/>
    </row>
    <row r="119">
      <c r="A119" s="8"/>
      <c r="B119" s="8"/>
      <c r="C119" s="12"/>
      <c r="D119" s="8"/>
      <c r="E119" s="4"/>
    </row>
    <row r="120">
      <c r="A120" s="8" t="s">
        <v>142</v>
      </c>
      <c r="B120" s="8" t="s">
        <v>143</v>
      </c>
      <c r="C120" s="12">
        <f>C37*C7/2</f>
        <v>5.8125</v>
      </c>
      <c r="D120" s="8" t="s">
        <v>74</v>
      </c>
      <c r="E120" s="4"/>
    </row>
    <row r="121">
      <c r="A121" s="14" t="s">
        <v>144</v>
      </c>
      <c r="B121" s="8" t="s">
        <v>145</v>
      </c>
      <c r="C121" s="12">
        <f>(C120)/C23</f>
        <v>0.06317934783</v>
      </c>
      <c r="D121" s="8" t="s">
        <v>113</v>
      </c>
      <c r="E121" s="4"/>
    </row>
    <row r="122">
      <c r="A122" s="8" t="s">
        <v>146</v>
      </c>
      <c r="B122" s="8" t="s">
        <v>147</v>
      </c>
      <c r="C122" s="12">
        <f>(C80*100)/(1000*C23)</f>
        <v>0.728485253</v>
      </c>
      <c r="D122" s="8" t="s">
        <v>148</v>
      </c>
      <c r="E122" s="4"/>
    </row>
    <row r="123">
      <c r="A123" s="5" t="s">
        <v>149</v>
      </c>
      <c r="B123" s="4"/>
      <c r="C123" s="12"/>
      <c r="D123" s="4"/>
      <c r="E123" s="4"/>
    </row>
    <row r="124">
      <c r="A124" s="14" t="s">
        <v>150</v>
      </c>
      <c r="B124" s="8" t="s">
        <v>151</v>
      </c>
      <c r="C124" s="12">
        <f>IF(C122&lt;0.15,0.28,IF(C122&lt;0.25,0.36,IF(C122&lt;0.5,0.49,IF(C122&lt;0.75,0.57,IF(C122&lt;1,0.64,IF(C122&lt;1.25,0.71,IF(C122&lt;1.5,0.76,0.82)))))))*SQRT(C9)/SQRT(25)</f>
        <v>0.6244037156</v>
      </c>
      <c r="D124" s="8" t="s">
        <v>113</v>
      </c>
      <c r="E124" s="4"/>
    </row>
    <row r="125">
      <c r="A125" s="8" t="s">
        <v>152</v>
      </c>
      <c r="B125" s="8" t="s">
        <v>153</v>
      </c>
      <c r="C125" s="12">
        <f>0.5*SQRT(C9)</f>
        <v>2.738612788</v>
      </c>
      <c r="D125" s="8" t="s">
        <v>113</v>
      </c>
      <c r="E125" s="4"/>
    </row>
    <row r="126">
      <c r="A126" s="14"/>
      <c r="B126" s="4"/>
      <c r="C126" s="12"/>
      <c r="D126" s="4"/>
      <c r="E126" s="4"/>
    </row>
    <row r="127">
      <c r="A127" s="5" t="s">
        <v>154</v>
      </c>
      <c r="B127" s="4"/>
      <c r="C127" s="12"/>
      <c r="D127" s="4"/>
      <c r="E127" s="4"/>
    </row>
    <row r="128">
      <c r="A128" s="8" t="s">
        <v>155</v>
      </c>
      <c r="B128" s="8" t="s">
        <v>15</v>
      </c>
      <c r="C128" s="12" t="str">
        <f>IF(C121&lt;C124,"SAFE","INCREASE DEPTH")</f>
        <v>SAFE</v>
      </c>
      <c r="D128" s="4"/>
      <c r="E128" s="4"/>
    </row>
    <row r="129">
      <c r="A129" s="8" t="s">
        <v>156</v>
      </c>
      <c r="B129" s="8" t="s">
        <v>157</v>
      </c>
      <c r="C129" s="12">
        <f>C124/C121</f>
        <v>9.883035154</v>
      </c>
      <c r="D129" s="8" t="s">
        <v>15</v>
      </c>
      <c r="E129" s="4"/>
    </row>
    <row r="130">
      <c r="A130" s="5"/>
      <c r="B130" s="4"/>
      <c r="C130" s="12"/>
      <c r="D130" s="4"/>
      <c r="E130" s="4"/>
    </row>
    <row r="131">
      <c r="A131" s="6" t="s">
        <v>158</v>
      </c>
      <c r="B131" s="4"/>
      <c r="C131" s="12"/>
      <c r="D131" s="4"/>
      <c r="E131" s="4"/>
    </row>
    <row r="132">
      <c r="A132" s="8"/>
      <c r="B132" s="8"/>
      <c r="C132" s="19"/>
      <c r="D132" s="8"/>
      <c r="E132" s="4"/>
    </row>
    <row r="133">
      <c r="A133" s="8" t="s">
        <v>159</v>
      </c>
      <c r="B133" s="8" t="s">
        <v>160</v>
      </c>
      <c r="C133" s="19">
        <v>26.0</v>
      </c>
      <c r="D133" s="8" t="s">
        <v>15</v>
      </c>
      <c r="E133" s="4"/>
    </row>
    <row r="134">
      <c r="A134" s="8" t="s">
        <v>161</v>
      </c>
      <c r="B134" s="8" t="s">
        <v>162</v>
      </c>
      <c r="C134" s="12">
        <f>0.58*C10*C75/C80</f>
        <v>47.77035617</v>
      </c>
      <c r="D134" s="8" t="s">
        <v>113</v>
      </c>
      <c r="E134" s="4"/>
    </row>
    <row r="135">
      <c r="A135" s="8" t="s">
        <v>163</v>
      </c>
      <c r="B135" s="8" t="s">
        <v>164</v>
      </c>
      <c r="C135" s="12">
        <f>IF(C134&lt;=100,2,IF(C134&lt;=150,1.6,IF(C134&lt;=200,1.33,IF(C134&lt;=240,1.15,IF(C134&lt;=280,1,IF(C134&lt;=320,0.87,0.76))))))</f>
        <v>2</v>
      </c>
      <c r="D135" s="8" t="s">
        <v>15</v>
      </c>
      <c r="E135" s="4"/>
    </row>
    <row r="136">
      <c r="A136" s="8" t="s">
        <v>165</v>
      </c>
      <c r="B136" s="8" t="s">
        <v>166</v>
      </c>
      <c r="C136" s="12">
        <f>C133*C135</f>
        <v>52</v>
      </c>
      <c r="D136" s="8" t="s">
        <v>15</v>
      </c>
      <c r="E136" s="4"/>
    </row>
    <row r="137">
      <c r="A137" s="5" t="s">
        <v>167</v>
      </c>
      <c r="B137" s="8" t="s">
        <v>168</v>
      </c>
      <c r="C137" s="12">
        <f>C7*1000/C23</f>
        <v>10.86956522</v>
      </c>
      <c r="D137" s="8" t="s">
        <v>15</v>
      </c>
      <c r="E137" s="4"/>
    </row>
    <row r="138">
      <c r="A138" s="8" t="s">
        <v>155</v>
      </c>
      <c r="B138" s="8" t="s">
        <v>15</v>
      </c>
      <c r="C138" s="12" t="str">
        <f>IF(C137&lt;C136,"OK","INCREASE DEPTH")</f>
        <v>OK</v>
      </c>
      <c r="D138" s="4"/>
      <c r="E138" s="4"/>
    </row>
    <row r="139">
      <c r="A139" s="5" t="s">
        <v>169</v>
      </c>
      <c r="B139" s="4"/>
      <c r="C139" s="12"/>
      <c r="D139" s="4"/>
      <c r="E139" s="4"/>
    </row>
    <row r="140">
      <c r="A140" s="8" t="s">
        <v>170</v>
      </c>
      <c r="B140" s="8" t="s">
        <v>171</v>
      </c>
      <c r="C140" s="19">
        <v>0.2</v>
      </c>
      <c r="D140" s="8" t="s">
        <v>24</v>
      </c>
      <c r="E140" s="4"/>
    </row>
    <row r="141">
      <c r="A141" s="8" t="s">
        <v>172</v>
      </c>
      <c r="B141" s="8" t="s">
        <v>162</v>
      </c>
      <c r="C141" s="12">
        <f>C134</f>
        <v>47.77035617</v>
      </c>
      <c r="D141" s="8" t="s">
        <v>113</v>
      </c>
      <c r="E141" s="4"/>
    </row>
    <row r="142">
      <c r="A142" s="8" t="s">
        <v>173</v>
      </c>
      <c r="B142" s="8" t="s">
        <v>174</v>
      </c>
      <c r="C142" s="12">
        <f>SQRT((C79/2)^2+(C11+C14/2)^2)</f>
        <v>160.8228839</v>
      </c>
      <c r="D142" s="8" t="s">
        <v>24</v>
      </c>
      <c r="E142" s="4"/>
    </row>
    <row r="143">
      <c r="A143" s="8" t="s">
        <v>175</v>
      </c>
      <c r="B143" s="8" t="s">
        <v>176</v>
      </c>
      <c r="C143" s="12">
        <f>((3*C141*C142)/(C10*1000))*SQRT((C11+C14/2)/C23)</f>
        <v>0.03659971121</v>
      </c>
      <c r="D143" s="8" t="s">
        <v>24</v>
      </c>
      <c r="E143" s="4"/>
    </row>
    <row r="144">
      <c r="A144" s="8" t="s">
        <v>155</v>
      </c>
      <c r="B144" s="8" t="s">
        <v>15</v>
      </c>
      <c r="C144" s="12" t="str">
        <f>IF(C143&lt;C140,"OK","REDUCE SPACING")</f>
        <v>OK</v>
      </c>
      <c r="D144" s="4"/>
      <c r="E144" s="4"/>
    </row>
    <row r="145">
      <c r="A145" s="4"/>
      <c r="B145" s="4"/>
      <c r="C145" s="12"/>
      <c r="D145" s="4"/>
      <c r="E145" s="4"/>
    </row>
    <row r="146">
      <c r="A146" s="20" t="s">
        <v>177</v>
      </c>
      <c r="B146" s="21"/>
      <c r="C146" s="22"/>
      <c r="D146" s="4"/>
      <c r="E146" s="4"/>
    </row>
    <row r="147">
      <c r="A147" s="21"/>
      <c r="B147" s="21"/>
      <c r="C147" s="22"/>
      <c r="D147" s="4"/>
      <c r="E147" s="4"/>
    </row>
    <row r="148">
      <c r="A148" s="23" t="s">
        <v>178</v>
      </c>
      <c r="B148" s="22">
        <f t="shared" ref="B148:B149" si="1">C22</f>
        <v>150</v>
      </c>
      <c r="C148" s="24" t="s">
        <v>24</v>
      </c>
      <c r="D148" s="4"/>
      <c r="E148" s="4"/>
    </row>
    <row r="149">
      <c r="A149" s="23" t="s">
        <v>179</v>
      </c>
      <c r="B149" s="22">
        <f t="shared" si="1"/>
        <v>92</v>
      </c>
      <c r="C149" s="24" t="s">
        <v>24</v>
      </c>
      <c r="D149" s="4"/>
      <c r="E149" s="4"/>
    </row>
    <row r="150">
      <c r="A150" s="25" t="s">
        <v>180</v>
      </c>
      <c r="B150" s="21"/>
      <c r="C150" s="22"/>
      <c r="D150" s="4"/>
      <c r="E150" s="4"/>
    </row>
    <row r="151">
      <c r="A151" s="23" t="s">
        <v>181</v>
      </c>
      <c r="B151" s="22" t="str">
        <f t="shared" ref="B151:B152" si="2">C89</f>
        <v>16mm φ @ 300 mm c/c</v>
      </c>
      <c r="C151" s="22"/>
      <c r="D151" s="4"/>
      <c r="E151" s="4"/>
    </row>
    <row r="152">
      <c r="A152" s="23" t="s">
        <v>182</v>
      </c>
      <c r="B152" s="22" t="str">
        <f t="shared" si="2"/>
        <v>16mm φ @ 300 mm c/c</v>
      </c>
      <c r="C152" s="22"/>
      <c r="D152" s="4"/>
      <c r="E152" s="4"/>
    </row>
    <row r="153">
      <c r="A153" s="23" t="s">
        <v>183</v>
      </c>
      <c r="B153" s="22" t="str">
        <f t="shared" ref="B153:B154" si="3">C115</f>
        <v>12mm φ @ 250 mm c/c</v>
      </c>
      <c r="C153" s="22"/>
      <c r="D153" s="4"/>
      <c r="E153" s="4"/>
    </row>
    <row r="154">
      <c r="A154" s="23" t="s">
        <v>184</v>
      </c>
      <c r="B154" s="22" t="str">
        <f t="shared" si="3"/>
        <v>12mm φ @ 250 mm c/c</v>
      </c>
      <c r="C154" s="22"/>
      <c r="D154" s="4"/>
      <c r="E154" s="4"/>
    </row>
    <row r="155">
      <c r="A155" s="25" t="s">
        <v>185</v>
      </c>
      <c r="B155" s="21"/>
      <c r="C155" s="22"/>
      <c r="D155" s="4"/>
      <c r="E155" s="4"/>
    </row>
    <row r="156">
      <c r="A156" s="23" t="s">
        <v>186</v>
      </c>
      <c r="B156" s="22" t="str">
        <f>C128</f>
        <v>SAFE</v>
      </c>
      <c r="C156" s="22"/>
      <c r="D156" s="4"/>
      <c r="E156" s="4"/>
    </row>
    <row r="157">
      <c r="A157" s="23" t="s">
        <v>187</v>
      </c>
      <c r="B157" s="22" t="str">
        <f>C138</f>
        <v>OK</v>
      </c>
      <c r="C157" s="22"/>
      <c r="D157" s="4"/>
      <c r="E157" s="4"/>
    </row>
    <row r="158">
      <c r="A158" s="23" t="s">
        <v>188</v>
      </c>
      <c r="B158" s="22" t="str">
        <f>C144</f>
        <v>OK</v>
      </c>
      <c r="C158" s="22"/>
      <c r="D158" s="4"/>
      <c r="E158" s="4"/>
    </row>
    <row r="159">
      <c r="A159" s="5"/>
      <c r="B159" s="4"/>
      <c r="C159" s="12"/>
      <c r="D159" s="4"/>
      <c r="E159" s="4"/>
    </row>
    <row r="160">
      <c r="A160" s="6" t="s">
        <v>189</v>
      </c>
      <c r="B160" s="4"/>
      <c r="C160" s="12"/>
      <c r="D160" s="4"/>
      <c r="E160" s="4"/>
    </row>
    <row r="161">
      <c r="A161" s="8" t="s">
        <v>190</v>
      </c>
      <c r="B161" s="26">
        <f>C45</f>
        <v>5.8125</v>
      </c>
      <c r="C161" s="19" t="s">
        <v>74</v>
      </c>
      <c r="D161" s="4"/>
      <c r="E161" s="4"/>
    </row>
    <row r="162">
      <c r="A162" s="8" t="s">
        <v>191</v>
      </c>
      <c r="B162" s="26">
        <f>C49</f>
        <v>5.8125</v>
      </c>
      <c r="C162" s="19" t="s">
        <v>74</v>
      </c>
      <c r="D162" s="4"/>
      <c r="E162" s="4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3" max="3" width="21.5"/>
  </cols>
  <sheetData>
    <row r="1">
      <c r="A1" s="3" t="s">
        <v>192</v>
      </c>
      <c r="E1" s="4"/>
      <c r="F1" s="4"/>
      <c r="G1" s="4"/>
    </row>
    <row r="2">
      <c r="A2" s="4"/>
      <c r="B2" s="4"/>
      <c r="C2" s="4"/>
      <c r="D2" s="4"/>
      <c r="E2" s="4"/>
      <c r="F2" s="4"/>
      <c r="G2" s="4"/>
    </row>
    <row r="3">
      <c r="A3" s="5" t="s">
        <v>4</v>
      </c>
      <c r="B3" s="4"/>
      <c r="C3" s="4"/>
      <c r="D3" s="4"/>
      <c r="E3" s="4"/>
      <c r="F3" s="4"/>
      <c r="G3" s="4"/>
    </row>
    <row r="4">
      <c r="A4" s="7"/>
      <c r="B4" s="7"/>
      <c r="C4" s="7"/>
      <c r="D4" s="7"/>
      <c r="E4" s="4"/>
      <c r="F4" s="4"/>
      <c r="G4" s="4"/>
    </row>
    <row r="5">
      <c r="A5" s="7" t="s">
        <v>5</v>
      </c>
      <c r="B5" s="7" t="s">
        <v>6</v>
      </c>
      <c r="C5" s="7" t="s">
        <v>7</v>
      </c>
      <c r="D5" s="7" t="s">
        <v>8</v>
      </c>
      <c r="E5" s="4"/>
      <c r="F5" s="4"/>
      <c r="G5" s="4"/>
    </row>
    <row r="6">
      <c r="A6" s="10" t="s">
        <v>193</v>
      </c>
      <c r="B6" s="10" t="s">
        <v>194</v>
      </c>
      <c r="C6" s="27">
        <f>Inputs!A2</f>
        <v>1</v>
      </c>
      <c r="D6" s="10" t="s">
        <v>11</v>
      </c>
      <c r="E6" s="4"/>
      <c r="F6" s="4"/>
      <c r="G6" s="4"/>
    </row>
    <row r="7">
      <c r="A7" s="10" t="s">
        <v>195</v>
      </c>
      <c r="B7" s="10" t="s">
        <v>196</v>
      </c>
      <c r="C7" s="27">
        <f>Inputs!C2</f>
        <v>1</v>
      </c>
      <c r="D7" s="10" t="s">
        <v>11</v>
      </c>
      <c r="E7" s="4"/>
      <c r="F7" s="4"/>
      <c r="G7" s="4"/>
    </row>
    <row r="8">
      <c r="A8" s="10" t="s">
        <v>197</v>
      </c>
      <c r="B8" s="10" t="s">
        <v>198</v>
      </c>
      <c r="C8" s="28">
        <f>C7-0.5</f>
        <v>0.5</v>
      </c>
      <c r="D8" s="10" t="s">
        <v>11</v>
      </c>
      <c r="E8" s="4"/>
      <c r="F8" s="4"/>
      <c r="G8" s="4"/>
    </row>
    <row r="9">
      <c r="A9" s="10" t="s">
        <v>199</v>
      </c>
      <c r="B9" s="10" t="s">
        <v>200</v>
      </c>
      <c r="C9" s="29">
        <f>C7</f>
        <v>1</v>
      </c>
      <c r="D9" s="10" t="s">
        <v>11</v>
      </c>
      <c r="E9" s="4"/>
      <c r="F9" s="4"/>
      <c r="G9" s="4"/>
    </row>
    <row r="10">
      <c r="A10" s="10" t="s">
        <v>201</v>
      </c>
      <c r="B10" s="10" t="s">
        <v>15</v>
      </c>
      <c r="C10" s="29" t="s">
        <v>202</v>
      </c>
      <c r="D10" s="10" t="s">
        <v>15</v>
      </c>
      <c r="E10" s="4"/>
      <c r="F10" s="4"/>
      <c r="G10" s="4"/>
    </row>
    <row r="11">
      <c r="A11" s="10" t="s">
        <v>17</v>
      </c>
      <c r="B11" s="10" t="s">
        <v>18</v>
      </c>
      <c r="C11" s="30">
        <v>30.0</v>
      </c>
      <c r="D11" s="10" t="s">
        <v>19</v>
      </c>
      <c r="E11" s="4"/>
      <c r="F11" s="4"/>
      <c r="G11" s="4"/>
    </row>
    <row r="12">
      <c r="A12" s="10" t="s">
        <v>20</v>
      </c>
      <c r="B12" s="10" t="s">
        <v>21</v>
      </c>
      <c r="C12" s="30">
        <v>500.0</v>
      </c>
      <c r="D12" s="10" t="s">
        <v>19</v>
      </c>
      <c r="E12" s="4"/>
      <c r="F12" s="4"/>
      <c r="G12" s="4"/>
    </row>
    <row r="13">
      <c r="A13" s="10" t="s">
        <v>203</v>
      </c>
      <c r="B13" s="10" t="s">
        <v>204</v>
      </c>
      <c r="C13" s="30">
        <v>50.0</v>
      </c>
      <c r="D13" s="10" t="s">
        <v>24</v>
      </c>
      <c r="E13" s="4"/>
      <c r="F13" s="4"/>
      <c r="G13" s="4"/>
    </row>
    <row r="14">
      <c r="A14" s="10" t="s">
        <v>205</v>
      </c>
      <c r="B14" s="10" t="s">
        <v>206</v>
      </c>
      <c r="C14" s="30">
        <v>50.0</v>
      </c>
      <c r="D14" s="10" t="s">
        <v>24</v>
      </c>
      <c r="E14" s="4"/>
      <c r="F14" s="4"/>
      <c r="G14" s="4"/>
    </row>
    <row r="15">
      <c r="A15" s="10" t="s">
        <v>207</v>
      </c>
      <c r="B15" s="10" t="s">
        <v>208</v>
      </c>
      <c r="C15" s="30">
        <v>10.0</v>
      </c>
      <c r="D15" s="10" t="s">
        <v>209</v>
      </c>
      <c r="E15" s="4"/>
      <c r="F15" s="4"/>
      <c r="G15" s="4"/>
    </row>
    <row r="16">
      <c r="A16" s="10" t="s">
        <v>210</v>
      </c>
      <c r="B16" s="10" t="s">
        <v>211</v>
      </c>
      <c r="C16" s="30">
        <v>18.0</v>
      </c>
      <c r="D16" s="10" t="s">
        <v>209</v>
      </c>
      <c r="E16" s="4"/>
      <c r="F16" s="4"/>
      <c r="G16" s="4"/>
    </row>
    <row r="17">
      <c r="A17" s="10" t="s">
        <v>212</v>
      </c>
      <c r="B17" s="10" t="s">
        <v>213</v>
      </c>
      <c r="C17" s="31">
        <v>0.33</v>
      </c>
      <c r="D17" s="10" t="s">
        <v>15</v>
      </c>
      <c r="E17" s="4"/>
      <c r="F17" s="4"/>
      <c r="G17" s="4"/>
    </row>
    <row r="18">
      <c r="A18" s="10" t="s">
        <v>30</v>
      </c>
      <c r="B18" s="10" t="s">
        <v>31</v>
      </c>
      <c r="C18" s="30">
        <v>16.0</v>
      </c>
      <c r="D18" s="10" t="s">
        <v>24</v>
      </c>
      <c r="E18" s="4"/>
      <c r="F18" s="4"/>
      <c r="G18" s="4"/>
    </row>
    <row r="19">
      <c r="A19" s="10" t="s">
        <v>32</v>
      </c>
      <c r="B19" s="10" t="s">
        <v>33</v>
      </c>
      <c r="C19" s="30">
        <v>12.0</v>
      </c>
      <c r="D19" s="10" t="s">
        <v>24</v>
      </c>
      <c r="E19" s="4"/>
      <c r="F19" s="4"/>
      <c r="G19" s="4"/>
    </row>
    <row r="20">
      <c r="A20" s="4"/>
      <c r="B20" s="4"/>
      <c r="C20" s="12"/>
      <c r="D20" s="4"/>
      <c r="E20" s="4"/>
      <c r="F20" s="4"/>
      <c r="G20" s="4"/>
    </row>
    <row r="21">
      <c r="A21" s="7" t="s">
        <v>214</v>
      </c>
      <c r="B21" s="10" t="s">
        <v>215</v>
      </c>
      <c r="C21" s="32">
        <f>'Roof Slab'!B161</f>
        <v>5.8125</v>
      </c>
      <c r="D21" s="10" t="s">
        <v>74</v>
      </c>
      <c r="E21" s="4"/>
      <c r="F21" s="4"/>
      <c r="G21" s="4"/>
    </row>
    <row r="22">
      <c r="A22" s="4"/>
      <c r="B22" s="4"/>
      <c r="C22" s="12"/>
      <c r="D22" s="4"/>
      <c r="E22" s="4"/>
      <c r="F22" s="4"/>
      <c r="G22" s="4"/>
    </row>
    <row r="23">
      <c r="A23" s="5" t="s">
        <v>216</v>
      </c>
      <c r="B23" s="4"/>
      <c r="C23" s="12"/>
      <c r="D23" s="4"/>
      <c r="E23" s="4"/>
      <c r="F23" s="4"/>
      <c r="G23" s="4"/>
    </row>
    <row r="24">
      <c r="A24" s="8" t="s">
        <v>217</v>
      </c>
      <c r="B24" s="8" t="s">
        <v>218</v>
      </c>
      <c r="C24" s="33">
        <f>MROUND(MAX(300,C7*1000/12),50)</f>
        <v>300</v>
      </c>
      <c r="D24" s="8" t="s">
        <v>24</v>
      </c>
      <c r="E24" s="4"/>
      <c r="F24" s="4"/>
      <c r="G24" s="4"/>
    </row>
    <row r="25">
      <c r="A25" s="8" t="s">
        <v>219</v>
      </c>
      <c r="B25" s="8" t="s">
        <v>220</v>
      </c>
      <c r="C25" s="12">
        <f>ROUNDUP(C24/10,0)*10</f>
        <v>300</v>
      </c>
      <c r="D25" s="8" t="s">
        <v>24</v>
      </c>
      <c r="E25" s="4"/>
      <c r="F25" s="4"/>
      <c r="G25" s="4"/>
    </row>
    <row r="26">
      <c r="A26" s="8" t="s">
        <v>221</v>
      </c>
      <c r="B26" s="8" t="s">
        <v>222</v>
      </c>
      <c r="C26" s="12">
        <f>C25-C13-C18/2</f>
        <v>242</v>
      </c>
      <c r="D26" s="8" t="s">
        <v>24</v>
      </c>
      <c r="E26" s="4"/>
      <c r="F26" s="4"/>
      <c r="G26" s="4"/>
    </row>
    <row r="27">
      <c r="A27" s="8" t="s">
        <v>223</v>
      </c>
      <c r="B27" s="8" t="s">
        <v>224</v>
      </c>
      <c r="C27" s="12">
        <f>C25-C14-C18/2</f>
        <v>242</v>
      </c>
      <c r="D27" s="8" t="s">
        <v>24</v>
      </c>
      <c r="E27" s="4"/>
      <c r="F27" s="4"/>
      <c r="G27" s="4"/>
    </row>
    <row r="28">
      <c r="A28" s="8" t="s">
        <v>225</v>
      </c>
      <c r="B28" s="8" t="s">
        <v>226</v>
      </c>
      <c r="C28" s="12">
        <f>C13+C18/2</f>
        <v>58</v>
      </c>
      <c r="D28" s="8" t="s">
        <v>24</v>
      </c>
      <c r="E28" s="4"/>
      <c r="F28" s="4"/>
      <c r="G28" s="4"/>
    </row>
    <row r="29">
      <c r="A29" s="8" t="s">
        <v>227</v>
      </c>
      <c r="B29" s="8" t="s">
        <v>228</v>
      </c>
      <c r="C29" s="12">
        <f>C14+C18/2</f>
        <v>58</v>
      </c>
      <c r="D29" s="8" t="s">
        <v>24</v>
      </c>
      <c r="E29" s="4"/>
      <c r="F29" s="4"/>
      <c r="G29" s="4"/>
    </row>
    <row r="30">
      <c r="A30" s="4"/>
      <c r="B30" s="4"/>
      <c r="C30" s="12"/>
      <c r="D30" s="4"/>
      <c r="E30" s="4"/>
      <c r="F30" s="4"/>
      <c r="G30" s="4"/>
    </row>
    <row r="31">
      <c r="A31" s="5" t="s">
        <v>229</v>
      </c>
      <c r="B31" s="4"/>
      <c r="C31" s="12"/>
      <c r="D31" s="4"/>
      <c r="E31" s="4"/>
      <c r="F31" s="4"/>
      <c r="G31" s="4"/>
    </row>
    <row r="32">
      <c r="A32" s="4"/>
      <c r="B32" s="4"/>
      <c r="C32" s="12"/>
      <c r="D32" s="4"/>
      <c r="E32" s="4"/>
      <c r="F32" s="4"/>
      <c r="G32" s="4"/>
    </row>
    <row r="33">
      <c r="A33" s="5" t="s">
        <v>230</v>
      </c>
      <c r="B33" s="4"/>
      <c r="C33" s="12"/>
      <c r="D33" s="4"/>
      <c r="E33" s="4"/>
      <c r="F33" s="4"/>
      <c r="G33" s="4"/>
    </row>
    <row r="34">
      <c r="A34" s="8" t="s">
        <v>231</v>
      </c>
      <c r="B34" s="8" t="s">
        <v>232</v>
      </c>
      <c r="C34" s="12">
        <f>C21</f>
        <v>5.8125</v>
      </c>
      <c r="D34" s="8" t="s">
        <v>74</v>
      </c>
      <c r="E34" s="4"/>
      <c r="F34" s="4"/>
      <c r="G34" s="4"/>
    </row>
    <row r="35">
      <c r="A35" s="5" t="s">
        <v>233</v>
      </c>
      <c r="B35" s="4"/>
      <c r="C35" s="12"/>
      <c r="D35" s="4"/>
      <c r="E35" s="4"/>
      <c r="F35" s="4"/>
      <c r="G35" s="4"/>
    </row>
    <row r="36">
      <c r="A36" s="8" t="s">
        <v>234</v>
      </c>
      <c r="B36" s="8" t="s">
        <v>235</v>
      </c>
      <c r="C36" s="12">
        <f>C8*C15</f>
        <v>5</v>
      </c>
      <c r="D36" s="8" t="s">
        <v>27</v>
      </c>
      <c r="E36" s="4"/>
      <c r="F36" s="4"/>
      <c r="G36" s="4"/>
    </row>
    <row r="37">
      <c r="A37" s="8" t="s">
        <v>236</v>
      </c>
      <c r="B37" s="8" t="s">
        <v>208</v>
      </c>
      <c r="C37" s="13">
        <v>1.5</v>
      </c>
      <c r="D37" s="8" t="s">
        <v>15</v>
      </c>
      <c r="E37" s="4"/>
      <c r="F37" s="4"/>
      <c r="G37" s="4"/>
    </row>
    <row r="38">
      <c r="A38" s="8" t="s">
        <v>237</v>
      </c>
      <c r="B38" s="8" t="s">
        <v>238</v>
      </c>
      <c r="C38" s="12">
        <f>C36*C37</f>
        <v>7.5</v>
      </c>
      <c r="D38" s="8" t="s">
        <v>27</v>
      </c>
      <c r="E38" s="4"/>
      <c r="F38" s="4"/>
      <c r="G38" s="4"/>
    </row>
    <row r="39">
      <c r="A39" s="5" t="s">
        <v>239</v>
      </c>
      <c r="B39" s="4"/>
      <c r="C39" s="12"/>
      <c r="D39" s="4"/>
      <c r="E39" s="4"/>
      <c r="F39" s="4"/>
      <c r="G39" s="4"/>
    </row>
    <row r="40">
      <c r="A40" s="8" t="s">
        <v>240</v>
      </c>
      <c r="B40" s="8" t="s">
        <v>241</v>
      </c>
      <c r="C40" s="12">
        <f>C9*C16*C17</f>
        <v>5.94</v>
      </c>
      <c r="D40" s="8" t="s">
        <v>27</v>
      </c>
      <c r="E40" s="4"/>
      <c r="F40" s="4"/>
      <c r="G40" s="4"/>
    </row>
    <row r="41">
      <c r="A41" s="8" t="s">
        <v>242</v>
      </c>
      <c r="B41" s="8" t="s">
        <v>211</v>
      </c>
      <c r="C41" s="13">
        <v>1.5</v>
      </c>
      <c r="D41" s="8" t="s">
        <v>15</v>
      </c>
      <c r="E41" s="4"/>
      <c r="F41" s="4"/>
      <c r="G41" s="4"/>
    </row>
    <row r="42">
      <c r="A42" s="8" t="s">
        <v>243</v>
      </c>
      <c r="B42" s="8" t="s">
        <v>244</v>
      </c>
      <c r="C42" s="12">
        <f>C40*C41</f>
        <v>8.91</v>
      </c>
      <c r="D42" s="8" t="s">
        <v>27</v>
      </c>
      <c r="E42" s="4"/>
      <c r="F42" s="4"/>
      <c r="G42" s="4"/>
    </row>
    <row r="43">
      <c r="A43" s="4"/>
      <c r="B43" s="4"/>
      <c r="C43" s="12"/>
      <c r="D43" s="4"/>
      <c r="E43" s="4"/>
      <c r="F43" s="4"/>
      <c r="G43" s="4"/>
    </row>
    <row r="44">
      <c r="A44" s="6" t="s">
        <v>245</v>
      </c>
      <c r="B44" s="4"/>
      <c r="C44" s="12"/>
      <c r="D44" s="4"/>
      <c r="E44" s="4"/>
      <c r="F44" s="4"/>
      <c r="G44" s="4"/>
    </row>
    <row r="45">
      <c r="A45" s="8" t="s">
        <v>246</v>
      </c>
      <c r="B45" s="8" t="s">
        <v>247</v>
      </c>
      <c r="C45" s="12">
        <f>C38</f>
        <v>7.5</v>
      </c>
      <c r="D45" s="8" t="s">
        <v>27</v>
      </c>
      <c r="E45" s="4"/>
      <c r="F45" s="4"/>
      <c r="G45" s="4"/>
    </row>
    <row r="46">
      <c r="A46" s="8" t="s">
        <v>248</v>
      </c>
      <c r="B46" s="8" t="s">
        <v>249</v>
      </c>
      <c r="C46" s="12">
        <f>C42</f>
        <v>8.91</v>
      </c>
      <c r="D46" s="8" t="s">
        <v>27</v>
      </c>
      <c r="E46" s="4"/>
      <c r="F46" s="4"/>
      <c r="G46" s="4"/>
    </row>
    <row r="47">
      <c r="A47" s="8" t="s">
        <v>250</v>
      </c>
      <c r="B47" s="8" t="s">
        <v>251</v>
      </c>
      <c r="C47" s="12">
        <f>MAX(C45,C46)</f>
        <v>8.91</v>
      </c>
      <c r="D47" s="8" t="s">
        <v>27</v>
      </c>
      <c r="E47" s="4"/>
      <c r="F47" s="4"/>
      <c r="G47" s="4"/>
    </row>
    <row r="48">
      <c r="A48" s="8" t="s">
        <v>252</v>
      </c>
      <c r="B48" s="8" t="s">
        <v>15</v>
      </c>
      <c r="C48" s="12" t="str">
        <f>IF(C45&gt;C46,"Tank Full - Water Inside","Tank Empty - Soil Outside")</f>
        <v>Tank Empty - Soil Outside</v>
      </c>
      <c r="D48" s="4"/>
      <c r="E48" s="4"/>
      <c r="F48" s="4"/>
      <c r="G48" s="4"/>
    </row>
    <row r="49">
      <c r="A49" s="4"/>
      <c r="B49" s="4"/>
      <c r="C49" s="12"/>
      <c r="D49" s="4"/>
      <c r="E49" s="4"/>
      <c r="F49" s="4"/>
      <c r="G49" s="4"/>
    </row>
    <row r="50">
      <c r="A50" s="6" t="s">
        <v>253</v>
      </c>
      <c r="B50" s="4"/>
      <c r="C50" s="12"/>
      <c r="D50" s="4"/>
      <c r="E50" s="4"/>
      <c r="F50" s="4"/>
      <c r="G50" s="4"/>
    </row>
    <row r="51">
      <c r="A51" s="5"/>
      <c r="B51" s="4"/>
      <c r="C51" s="12"/>
      <c r="D51" s="4"/>
      <c r="E51" s="4"/>
      <c r="F51" s="4"/>
      <c r="G51" s="4"/>
    </row>
    <row r="52">
      <c r="A52" s="5" t="s">
        <v>254</v>
      </c>
      <c r="B52" s="4"/>
      <c r="C52" s="12"/>
      <c r="D52" s="4"/>
      <c r="E52" s="4"/>
      <c r="F52" s="4"/>
      <c r="G52" s="4"/>
    </row>
    <row r="53">
      <c r="A53" s="8" t="s">
        <v>255</v>
      </c>
      <c r="B53" s="8" t="s">
        <v>232</v>
      </c>
      <c r="C53" s="12">
        <f>C34</f>
        <v>5.8125</v>
      </c>
      <c r="D53" s="8" t="s">
        <v>74</v>
      </c>
      <c r="E53" s="4"/>
      <c r="F53" s="4"/>
      <c r="G53" s="4"/>
    </row>
    <row r="54">
      <c r="A54" s="8" t="s">
        <v>256</v>
      </c>
      <c r="B54" s="8" t="s">
        <v>257</v>
      </c>
      <c r="C54" s="12">
        <f>(C25/1000)*C7*25</f>
        <v>7.5</v>
      </c>
      <c r="D54" s="8" t="s">
        <v>74</v>
      </c>
      <c r="E54" s="4"/>
      <c r="F54" s="4"/>
      <c r="G54" s="4"/>
    </row>
    <row r="55">
      <c r="A55" s="8" t="s">
        <v>258</v>
      </c>
      <c r="B55" s="8" t="s">
        <v>259</v>
      </c>
      <c r="C55" s="12">
        <f>C53+C54</f>
        <v>13.3125</v>
      </c>
      <c r="D55" s="8" t="s">
        <v>74</v>
      </c>
      <c r="E55" s="34" t="s">
        <v>260</v>
      </c>
    </row>
    <row r="56">
      <c r="A56" s="8" t="s">
        <v>261</v>
      </c>
      <c r="B56" s="8" t="s">
        <v>262</v>
      </c>
      <c r="C56" s="12">
        <f>(C55)/C25</f>
        <v>0.044375</v>
      </c>
      <c r="D56" s="8" t="s">
        <v>113</v>
      </c>
    </row>
    <row r="57">
      <c r="A57" s="8" t="s">
        <v>263</v>
      </c>
      <c r="B57" s="8" t="s">
        <v>264</v>
      </c>
      <c r="C57" s="12">
        <f>0.1*C11</f>
        <v>3</v>
      </c>
      <c r="D57" s="8" t="s">
        <v>113</v>
      </c>
    </row>
    <row r="58">
      <c r="A58" s="8" t="s">
        <v>155</v>
      </c>
      <c r="B58" s="8" t="s">
        <v>15</v>
      </c>
      <c r="C58" s="12" t="str">
        <f>IF(C56&lt;C57,"OK - Primarily Flexure","Check as Column")</f>
        <v>OK - Primarily Flexure</v>
      </c>
      <c r="D58" s="4"/>
    </row>
    <row r="59">
      <c r="A59" s="4"/>
      <c r="B59" s="4"/>
      <c r="C59" s="12"/>
      <c r="D59" s="4"/>
      <c r="E59" s="4"/>
      <c r="F59" s="4"/>
      <c r="G59" s="4"/>
    </row>
    <row r="60">
      <c r="A60" s="5" t="s">
        <v>265</v>
      </c>
      <c r="B60" s="4"/>
      <c r="C60" s="12"/>
      <c r="D60" s="4"/>
      <c r="E60" s="4"/>
      <c r="F60" s="4"/>
      <c r="G60" s="4"/>
    </row>
    <row r="61">
      <c r="A61" s="4"/>
      <c r="B61" s="4"/>
      <c r="C61" s="12"/>
      <c r="D61" s="4"/>
      <c r="E61" s="4"/>
      <c r="F61" s="4"/>
      <c r="G61" s="4"/>
    </row>
    <row r="62">
      <c r="A62" s="5" t="s">
        <v>266</v>
      </c>
      <c r="B62" s="4"/>
      <c r="C62" s="12"/>
      <c r="D62" s="4"/>
      <c r="E62" s="4"/>
      <c r="F62" s="4"/>
      <c r="G62" s="4"/>
    </row>
    <row r="63">
      <c r="A63" s="8" t="s">
        <v>201</v>
      </c>
      <c r="B63" s="8" t="s">
        <v>15</v>
      </c>
      <c r="C63" s="19" t="s">
        <v>267</v>
      </c>
      <c r="D63" s="8" t="s">
        <v>15</v>
      </c>
      <c r="E63" s="4"/>
      <c r="F63" s="4"/>
      <c r="G63" s="4"/>
    </row>
    <row r="64">
      <c r="A64" s="5" t="s">
        <v>268</v>
      </c>
      <c r="B64" s="4"/>
      <c r="C64" s="12"/>
      <c r="D64" s="4"/>
      <c r="E64" s="4"/>
      <c r="F64" s="4"/>
      <c r="G64" s="4"/>
    </row>
    <row r="65">
      <c r="A65" s="8" t="s">
        <v>269</v>
      </c>
      <c r="B65" s="8" t="s">
        <v>196</v>
      </c>
      <c r="C65" s="12">
        <f>C7</f>
        <v>1</v>
      </c>
      <c r="D65" s="8" t="s">
        <v>11</v>
      </c>
      <c r="E65" s="4"/>
      <c r="F65" s="4"/>
      <c r="G65" s="4"/>
    </row>
    <row r="66">
      <c r="A66" s="8" t="s">
        <v>270</v>
      </c>
      <c r="B66" s="8" t="s">
        <v>271</v>
      </c>
      <c r="C66" s="12">
        <f>C47</f>
        <v>8.91</v>
      </c>
      <c r="D66" s="8" t="s">
        <v>27</v>
      </c>
      <c r="E66" s="4"/>
      <c r="F66" s="4"/>
      <c r="G66" s="4"/>
    </row>
    <row r="67">
      <c r="A67" s="5" t="s">
        <v>272</v>
      </c>
      <c r="B67" s="4"/>
      <c r="C67" s="12"/>
      <c r="D67" s="4"/>
      <c r="E67" s="4"/>
      <c r="F67" s="4"/>
      <c r="G67" s="4"/>
    </row>
    <row r="68">
      <c r="A68" s="8" t="s">
        <v>273</v>
      </c>
      <c r="B68" s="8" t="s">
        <v>274</v>
      </c>
      <c r="C68" s="35">
        <v>-0.0833</v>
      </c>
      <c r="D68" s="8" t="s">
        <v>15</v>
      </c>
      <c r="E68" s="4"/>
      <c r="F68" s="4"/>
      <c r="G68" s="4"/>
    </row>
    <row r="69">
      <c r="A69" s="8" t="s">
        <v>275</v>
      </c>
      <c r="B69" s="8" t="s">
        <v>276</v>
      </c>
      <c r="C69" s="35">
        <v>0.0417</v>
      </c>
      <c r="D69" s="8" t="s">
        <v>15</v>
      </c>
      <c r="E69" s="4"/>
      <c r="F69" s="4"/>
      <c r="G69" s="4"/>
    </row>
    <row r="70">
      <c r="A70" s="8" t="s">
        <v>277</v>
      </c>
      <c r="B70" s="8" t="s">
        <v>278</v>
      </c>
      <c r="C70" s="35">
        <v>-0.0833</v>
      </c>
      <c r="D70" s="8" t="s">
        <v>15</v>
      </c>
      <c r="E70" s="4"/>
      <c r="F70" s="4"/>
      <c r="G70" s="4"/>
    </row>
    <row r="71">
      <c r="A71" s="5" t="s">
        <v>95</v>
      </c>
      <c r="B71" s="4"/>
      <c r="C71" s="12"/>
      <c r="D71" s="4"/>
      <c r="E71" s="4"/>
      <c r="F71" s="4"/>
      <c r="G71" s="4"/>
    </row>
    <row r="72">
      <c r="A72" s="8" t="s">
        <v>279</v>
      </c>
      <c r="B72" s="8" t="s">
        <v>280</v>
      </c>
      <c r="C72" s="12">
        <f>C68*C66*C65^2</f>
        <v>-0.742203</v>
      </c>
      <c r="D72" s="8" t="s">
        <v>98</v>
      </c>
      <c r="E72" s="4"/>
      <c r="F72" s="4"/>
      <c r="G72" s="4"/>
    </row>
    <row r="73">
      <c r="A73" s="8" t="s">
        <v>281</v>
      </c>
      <c r="B73" s="8" t="s">
        <v>282</v>
      </c>
      <c r="C73" s="12">
        <f>C69*C66*C65^2</f>
        <v>0.371547</v>
      </c>
      <c r="D73" s="8" t="s">
        <v>98</v>
      </c>
      <c r="E73" s="4"/>
      <c r="F73" s="4"/>
      <c r="G73" s="4"/>
    </row>
    <row r="74">
      <c r="A74" s="8" t="s">
        <v>283</v>
      </c>
      <c r="B74" s="8" t="s">
        <v>284</v>
      </c>
      <c r="C74" s="12">
        <f>C70*C66*C65^2</f>
        <v>-0.742203</v>
      </c>
      <c r="D74" s="8" t="s">
        <v>98</v>
      </c>
      <c r="E74" s="4"/>
      <c r="F74" s="4"/>
      <c r="G74" s="4"/>
    </row>
    <row r="75">
      <c r="A75" s="4"/>
      <c r="B75" s="4"/>
      <c r="C75" s="12"/>
      <c r="D75" s="4"/>
      <c r="E75" s="4"/>
      <c r="F75" s="4"/>
      <c r="G75" s="4"/>
    </row>
    <row r="76">
      <c r="A76" s="8" t="s">
        <v>285</v>
      </c>
      <c r="B76" s="8" t="s">
        <v>108</v>
      </c>
      <c r="C76" s="12">
        <f>MAX(ABS(C72),ABS(C73),ABS(C74))</f>
        <v>0.742203</v>
      </c>
      <c r="D76" s="8" t="s">
        <v>98</v>
      </c>
      <c r="E76" s="4"/>
      <c r="F76" s="4"/>
      <c r="G76" s="4"/>
    </row>
    <row r="77">
      <c r="A77" s="4"/>
      <c r="B77" s="4"/>
      <c r="C77" s="12"/>
      <c r="D77" s="4"/>
      <c r="E77" s="4"/>
      <c r="F77" s="4"/>
      <c r="G77" s="4"/>
    </row>
    <row r="78">
      <c r="A78" s="5" t="s">
        <v>286</v>
      </c>
      <c r="B78" s="4"/>
      <c r="C78" s="12"/>
      <c r="D78" s="4"/>
      <c r="E78" s="4"/>
      <c r="F78" s="4"/>
      <c r="G78" s="4"/>
    </row>
    <row r="79">
      <c r="A79" s="5"/>
      <c r="B79" s="4"/>
      <c r="C79" s="12"/>
      <c r="D79" s="4"/>
      <c r="E79" s="4"/>
      <c r="F79" s="4"/>
      <c r="G79" s="4"/>
    </row>
    <row r="80">
      <c r="A80" s="5" t="s">
        <v>287</v>
      </c>
      <c r="B80" s="4"/>
      <c r="C80" s="12"/>
      <c r="D80" s="4"/>
      <c r="E80" s="4"/>
      <c r="F80" s="4"/>
      <c r="G80" s="4"/>
    </row>
    <row r="81">
      <c r="A81" s="5" t="s">
        <v>288</v>
      </c>
      <c r="B81" s="4"/>
      <c r="C81" s="12"/>
      <c r="D81" s="4"/>
      <c r="E81" s="4"/>
      <c r="F81" s="4"/>
      <c r="G81" s="4"/>
    </row>
    <row r="82">
      <c r="A82" s="8" t="s">
        <v>107</v>
      </c>
      <c r="B82" s="8" t="s">
        <v>108</v>
      </c>
      <c r="C82" s="12">
        <f>IF(C45&gt;C46,C76*1000000,0)</f>
        <v>0</v>
      </c>
      <c r="D82" s="8" t="s">
        <v>109</v>
      </c>
      <c r="E82" s="4"/>
      <c r="F82" s="4"/>
      <c r="G82" s="4"/>
    </row>
    <row r="83">
      <c r="A83" s="8" t="s">
        <v>110</v>
      </c>
      <c r="B83" s="8" t="s">
        <v>39</v>
      </c>
      <c r="C83" s="12">
        <f>C26</f>
        <v>242</v>
      </c>
      <c r="D83" s="8" t="s">
        <v>24</v>
      </c>
      <c r="E83" s="4"/>
      <c r="F83" s="4"/>
      <c r="G83" s="4"/>
    </row>
    <row r="84">
      <c r="A84" s="8" t="s">
        <v>111</v>
      </c>
      <c r="B84" s="8" t="s">
        <v>112</v>
      </c>
      <c r="C84" s="12">
        <f>IF(C82&gt;0,C82/(1000*C83^2),0)</f>
        <v>0</v>
      </c>
      <c r="D84" s="8" t="s">
        <v>113</v>
      </c>
      <c r="E84" s="4"/>
      <c r="F84" s="4"/>
      <c r="G84" s="4"/>
    </row>
    <row r="85">
      <c r="A85" s="8" t="s">
        <v>114</v>
      </c>
      <c r="B85" s="8" t="s">
        <v>115</v>
      </c>
      <c r="C85" s="12">
        <f>IF(C84&gt;0,(0.5*C11/C12)*(1-SQRT(1-(4.6*C84/C11))),0)</f>
        <v>0</v>
      </c>
      <c r="D85" s="8" t="s">
        <v>15</v>
      </c>
      <c r="E85" s="4"/>
      <c r="F85" s="4"/>
      <c r="G85" s="4"/>
    </row>
    <row r="86">
      <c r="A86" s="8" t="s">
        <v>116</v>
      </c>
      <c r="B86" s="8" t="s">
        <v>117</v>
      </c>
      <c r="C86" s="19">
        <v>0.0012</v>
      </c>
      <c r="D86" s="8" t="s">
        <v>15</v>
      </c>
      <c r="E86" s="4"/>
      <c r="F86" s="4"/>
      <c r="G86" s="4"/>
    </row>
    <row r="87">
      <c r="A87" s="8" t="s">
        <v>118</v>
      </c>
      <c r="B87" s="8" t="s">
        <v>119</v>
      </c>
      <c r="C87" s="12">
        <f>MAX(C85,C86)</f>
        <v>0.0012</v>
      </c>
      <c r="D87" s="8" t="s">
        <v>15</v>
      </c>
      <c r="E87" s="4"/>
      <c r="F87" s="4"/>
      <c r="G87" s="4"/>
    </row>
    <row r="88">
      <c r="A88" s="8" t="s">
        <v>120</v>
      </c>
      <c r="B88" s="8" t="s">
        <v>121</v>
      </c>
      <c r="C88" s="12">
        <f>C87*1000*C83</f>
        <v>290.4</v>
      </c>
      <c r="D88" s="8" t="s">
        <v>122</v>
      </c>
      <c r="E88" s="4"/>
      <c r="F88" s="4"/>
      <c r="G88" s="4"/>
    </row>
    <row r="89">
      <c r="A89" s="8" t="s">
        <v>123</v>
      </c>
      <c r="B89" s="8" t="s">
        <v>124</v>
      </c>
      <c r="C89" s="12">
        <f>PI()*C18^2/4</f>
        <v>201.0619298</v>
      </c>
      <c r="D89" s="8" t="s">
        <v>125</v>
      </c>
      <c r="E89" s="4"/>
      <c r="F89" s="4"/>
      <c r="G89" s="4"/>
    </row>
    <row r="90">
      <c r="A90" s="8" t="s">
        <v>126</v>
      </c>
      <c r="B90" s="8" t="s">
        <v>127</v>
      </c>
      <c r="C90" s="12">
        <f>C89*1000/C88</f>
        <v>692.3620173</v>
      </c>
      <c r="D90" s="8" t="s">
        <v>24</v>
      </c>
      <c r="E90" s="4"/>
      <c r="F90" s="4"/>
      <c r="G90" s="4"/>
    </row>
    <row r="91">
      <c r="A91" s="8" t="s">
        <v>128</v>
      </c>
      <c r="B91" s="8" t="s">
        <v>129</v>
      </c>
      <c r="C91" s="12">
        <f>MIN(3*C83,300)</f>
        <v>300</v>
      </c>
      <c r="D91" s="8" t="s">
        <v>24</v>
      </c>
      <c r="E91" s="4"/>
      <c r="F91" s="4"/>
      <c r="G91" s="4"/>
    </row>
    <row r="92">
      <c r="A92" s="8" t="s">
        <v>130</v>
      </c>
      <c r="B92" s="8" t="s">
        <v>131</v>
      </c>
      <c r="C92" s="12">
        <f>MIN(C91,ROUNDDOWN(C90/10,0)*10)</f>
        <v>300</v>
      </c>
      <c r="D92" s="8" t="s">
        <v>132</v>
      </c>
      <c r="E92" s="4"/>
      <c r="F92" s="4"/>
      <c r="G92" s="4"/>
    </row>
    <row r="93">
      <c r="A93" s="8" t="s">
        <v>133</v>
      </c>
      <c r="B93" s="8" t="s">
        <v>134</v>
      </c>
      <c r="C93" s="12">
        <f>C89*1000/C92</f>
        <v>670.2064328</v>
      </c>
      <c r="D93" s="8" t="s">
        <v>122</v>
      </c>
      <c r="E93" s="4"/>
      <c r="F93" s="4"/>
      <c r="G93" s="4"/>
    </row>
    <row r="94">
      <c r="A94" s="5" t="s">
        <v>289</v>
      </c>
      <c r="B94" s="4"/>
      <c r="C94" s="12"/>
      <c r="D94" s="4"/>
      <c r="E94" s="4"/>
      <c r="F94" s="4"/>
      <c r="G94" s="4"/>
    </row>
    <row r="95">
      <c r="A95" s="8" t="s">
        <v>107</v>
      </c>
      <c r="B95" s="8" t="s">
        <v>108</v>
      </c>
      <c r="C95" s="12">
        <f>IF(C46&gt;C45,C76*1000000,0)</f>
        <v>742203</v>
      </c>
      <c r="D95" s="8" t="s">
        <v>109</v>
      </c>
      <c r="E95" s="4"/>
      <c r="F95" s="4"/>
      <c r="G95" s="4"/>
    </row>
    <row r="96">
      <c r="A96" s="8" t="s">
        <v>110</v>
      </c>
      <c r="B96" s="8" t="s">
        <v>39</v>
      </c>
      <c r="C96" s="12">
        <f>C27</f>
        <v>242</v>
      </c>
      <c r="D96" s="8" t="s">
        <v>24</v>
      </c>
      <c r="E96" s="4"/>
      <c r="F96" s="4"/>
      <c r="G96" s="4"/>
    </row>
    <row r="97">
      <c r="A97" s="8" t="s">
        <v>111</v>
      </c>
      <c r="B97" s="8" t="s">
        <v>112</v>
      </c>
      <c r="C97" s="12">
        <f>IF(C95&gt;0,C95/(1000*C96^2),0)</f>
        <v>0.01267336589</v>
      </c>
      <c r="D97" s="8" t="s">
        <v>113</v>
      </c>
      <c r="E97" s="4"/>
      <c r="F97" s="4"/>
      <c r="G97" s="4"/>
    </row>
    <row r="98">
      <c r="A98" s="8" t="s">
        <v>114</v>
      </c>
      <c r="B98" s="8" t="s">
        <v>115</v>
      </c>
      <c r="C98" s="12">
        <f>IF(C97&gt;0,(0.5*C11/C12)*(1-SQRT(1-(4.6*C97/C11))),0)</f>
        <v>0.00002916291614</v>
      </c>
      <c r="D98" s="8" t="s">
        <v>15</v>
      </c>
      <c r="E98" s="4"/>
      <c r="F98" s="4"/>
      <c r="G98" s="4"/>
    </row>
    <row r="99">
      <c r="A99" s="8" t="s">
        <v>116</v>
      </c>
      <c r="B99" s="8" t="s">
        <v>117</v>
      </c>
      <c r="C99" s="19">
        <v>0.0012</v>
      </c>
      <c r="D99" s="8" t="s">
        <v>15</v>
      </c>
      <c r="E99" s="4"/>
      <c r="F99" s="4"/>
      <c r="G99" s="4"/>
    </row>
    <row r="100">
      <c r="A100" s="8" t="s">
        <v>118</v>
      </c>
      <c r="B100" s="8" t="s">
        <v>119</v>
      </c>
      <c r="C100" s="12">
        <f>MAX(C98,C99)</f>
        <v>0.0012</v>
      </c>
      <c r="D100" s="8" t="s">
        <v>15</v>
      </c>
      <c r="E100" s="4"/>
      <c r="F100" s="4"/>
      <c r="G100" s="4"/>
    </row>
    <row r="101">
      <c r="A101" s="8" t="s">
        <v>120</v>
      </c>
      <c r="B101" s="8" t="s">
        <v>121</v>
      </c>
      <c r="C101" s="12">
        <f>C100*1000*C96</f>
        <v>290.4</v>
      </c>
      <c r="D101" s="8" t="s">
        <v>122</v>
      </c>
      <c r="E101" s="4"/>
      <c r="F101" s="4"/>
      <c r="G101" s="4"/>
    </row>
    <row r="102">
      <c r="A102" s="8" t="s">
        <v>126</v>
      </c>
      <c r="B102" s="8" t="s">
        <v>127</v>
      </c>
      <c r="C102" s="12">
        <f>C89*1000/C101</f>
        <v>692.3620173</v>
      </c>
      <c r="D102" s="8" t="s">
        <v>24</v>
      </c>
      <c r="E102" s="4"/>
      <c r="F102" s="4"/>
      <c r="G102" s="4"/>
    </row>
    <row r="103">
      <c r="A103" s="8" t="s">
        <v>290</v>
      </c>
      <c r="B103" s="8" t="s">
        <v>129</v>
      </c>
      <c r="C103" s="12">
        <f>MIN(3*C96,300)</f>
        <v>300</v>
      </c>
      <c r="D103" s="8" t="s">
        <v>24</v>
      </c>
      <c r="E103" s="4"/>
      <c r="F103" s="4"/>
      <c r="G103" s="4"/>
    </row>
    <row r="104">
      <c r="A104" s="8" t="s">
        <v>130</v>
      </c>
      <c r="B104" s="8" t="s">
        <v>131</v>
      </c>
      <c r="C104" s="12">
        <f>MIN(C103,ROUNDDOWN(C102/10,0)*10)</f>
        <v>300</v>
      </c>
      <c r="D104" s="8" t="s">
        <v>132</v>
      </c>
      <c r="E104" s="4"/>
      <c r="F104" s="4"/>
      <c r="G104" s="4"/>
    </row>
    <row r="105">
      <c r="A105" s="8" t="s">
        <v>133</v>
      </c>
      <c r="B105" s="8" t="s">
        <v>134</v>
      </c>
      <c r="C105" s="12">
        <f>C89*1000/C104</f>
        <v>670.2064328</v>
      </c>
      <c r="D105" s="8" t="s">
        <v>122</v>
      </c>
      <c r="E105" s="4"/>
      <c r="F105" s="4"/>
      <c r="G105" s="4"/>
    </row>
    <row r="106">
      <c r="A106" s="4"/>
      <c r="B106" s="4"/>
      <c r="C106" s="12"/>
      <c r="D106" s="4"/>
      <c r="E106" s="4"/>
      <c r="F106" s="4"/>
      <c r="G106" s="4"/>
    </row>
    <row r="107">
      <c r="A107" s="5" t="s">
        <v>291</v>
      </c>
      <c r="B107" s="4"/>
      <c r="C107" s="12"/>
      <c r="D107" s="4"/>
      <c r="E107" s="4"/>
      <c r="F107" s="4"/>
      <c r="G107" s="4"/>
    </row>
    <row r="108">
      <c r="A108" s="5"/>
      <c r="B108" s="4"/>
      <c r="C108" s="12"/>
      <c r="D108" s="4"/>
      <c r="E108" s="4"/>
      <c r="F108" s="4"/>
      <c r="G108" s="4"/>
    </row>
    <row r="109">
      <c r="A109" s="5" t="s">
        <v>292</v>
      </c>
      <c r="B109" s="4"/>
      <c r="C109" s="12"/>
      <c r="D109" s="4"/>
      <c r="E109" s="4"/>
      <c r="F109" s="4"/>
      <c r="G109" s="4"/>
    </row>
    <row r="110">
      <c r="A110" s="8" t="s">
        <v>293</v>
      </c>
      <c r="B110" s="8" t="s">
        <v>148</v>
      </c>
      <c r="C110" s="19">
        <v>0.12</v>
      </c>
      <c r="D110" s="8" t="s">
        <v>148</v>
      </c>
      <c r="E110" s="4"/>
      <c r="F110" s="4"/>
      <c r="G110" s="4"/>
    </row>
    <row r="111">
      <c r="A111" s="8" t="s">
        <v>294</v>
      </c>
      <c r="B111" s="8" t="s">
        <v>295</v>
      </c>
      <c r="C111" s="12">
        <f>C110/100*C25*1000</f>
        <v>360</v>
      </c>
      <c r="D111" s="8" t="s">
        <v>122</v>
      </c>
      <c r="E111" s="4"/>
      <c r="F111" s="4"/>
      <c r="G111" s="4"/>
    </row>
    <row r="112">
      <c r="A112" s="6" t="s">
        <v>296</v>
      </c>
      <c r="B112" s="4"/>
      <c r="C112" s="12"/>
      <c r="D112" s="4"/>
      <c r="E112" s="4"/>
      <c r="F112" s="4"/>
      <c r="G112" s="4"/>
    </row>
    <row r="113">
      <c r="A113" s="8" t="s">
        <v>123</v>
      </c>
      <c r="B113" s="8" t="s">
        <v>124</v>
      </c>
      <c r="C113" s="12">
        <f>PI()*C19^2/4</f>
        <v>113.0973355</v>
      </c>
      <c r="D113" s="8" t="s">
        <v>125</v>
      </c>
      <c r="E113" s="4"/>
      <c r="F113" s="4"/>
      <c r="G113" s="4"/>
    </row>
    <row r="114">
      <c r="A114" s="8" t="s">
        <v>126</v>
      </c>
      <c r="B114" s="8" t="s">
        <v>127</v>
      </c>
      <c r="C114" s="12">
        <f>C113*1000/C111</f>
        <v>314.1592654</v>
      </c>
      <c r="D114" s="8" t="s">
        <v>24</v>
      </c>
      <c r="E114" s="4"/>
      <c r="F114" s="4"/>
      <c r="G114" s="4"/>
    </row>
    <row r="115">
      <c r="A115" s="8" t="s">
        <v>290</v>
      </c>
      <c r="B115" s="8" t="s">
        <v>129</v>
      </c>
      <c r="C115" s="19">
        <v>300.0</v>
      </c>
      <c r="D115" s="8" t="s">
        <v>24</v>
      </c>
      <c r="E115" s="4"/>
      <c r="F115" s="4"/>
      <c r="G115" s="4"/>
    </row>
    <row r="116">
      <c r="A116" s="8" t="s">
        <v>130</v>
      </c>
      <c r="B116" s="8" t="s">
        <v>131</v>
      </c>
      <c r="C116" s="12">
        <f>MIN(C115,ROUNDDOWN(C114/10,0)*10)</f>
        <v>300</v>
      </c>
      <c r="D116" s="8" t="s">
        <v>132</v>
      </c>
      <c r="E116" s="4"/>
      <c r="F116" s="4"/>
      <c r="G116" s="4"/>
    </row>
    <row r="117">
      <c r="A117" s="8" t="s">
        <v>133</v>
      </c>
      <c r="B117" s="8" t="s">
        <v>134</v>
      </c>
      <c r="C117" s="12">
        <f>C113*1000/C116</f>
        <v>376.9911184</v>
      </c>
      <c r="D117" s="8" t="s">
        <v>122</v>
      </c>
      <c r="E117" s="4"/>
      <c r="F117" s="4"/>
      <c r="G117" s="4"/>
    </row>
    <row r="118">
      <c r="A118" s="6" t="s">
        <v>297</v>
      </c>
      <c r="B118" s="4"/>
      <c r="C118" s="12"/>
      <c r="D118" s="4"/>
      <c r="E118" s="4"/>
      <c r="F118" s="4"/>
      <c r="G118" s="4"/>
    </row>
    <row r="119">
      <c r="A119" s="8" t="s">
        <v>130</v>
      </c>
      <c r="B119" s="8" t="s">
        <v>131</v>
      </c>
      <c r="C119" s="12">
        <f>C116</f>
        <v>300</v>
      </c>
      <c r="D119" s="8" t="s">
        <v>132</v>
      </c>
      <c r="E119" s="4"/>
      <c r="F119" s="4"/>
      <c r="G119" s="4"/>
    </row>
    <row r="120">
      <c r="A120" s="8" t="s">
        <v>133</v>
      </c>
      <c r="B120" s="8" t="s">
        <v>134</v>
      </c>
      <c r="C120" s="12">
        <f>C113*1000/C119</f>
        <v>376.9911184</v>
      </c>
      <c r="D120" s="8" t="s">
        <v>122</v>
      </c>
      <c r="E120" s="4"/>
      <c r="F120" s="4"/>
      <c r="G120" s="4"/>
    </row>
    <row r="121">
      <c r="A121" s="4"/>
      <c r="B121" s="4"/>
      <c r="C121" s="12"/>
      <c r="D121" s="4"/>
      <c r="E121" s="4"/>
      <c r="F121" s="4"/>
      <c r="G121" s="4"/>
    </row>
    <row r="122">
      <c r="A122" s="5" t="s">
        <v>298</v>
      </c>
      <c r="B122" s="4"/>
      <c r="C122" s="12"/>
      <c r="D122" s="4"/>
      <c r="E122" s="4"/>
      <c r="F122" s="4"/>
      <c r="G122" s="4"/>
    </row>
    <row r="123">
      <c r="A123" s="4"/>
      <c r="B123" s="4"/>
      <c r="C123" s="12"/>
      <c r="D123" s="4"/>
      <c r="E123" s="4"/>
      <c r="F123" s="4"/>
      <c r="G123" s="4"/>
    </row>
    <row r="124">
      <c r="A124" s="5" t="s">
        <v>299</v>
      </c>
      <c r="B124" s="4"/>
      <c r="C124" s="12"/>
      <c r="D124" s="4"/>
      <c r="E124" s="4"/>
      <c r="F124" s="4"/>
      <c r="G124" s="4"/>
    </row>
    <row r="125">
      <c r="A125" s="8" t="s">
        <v>300</v>
      </c>
      <c r="B125" s="4"/>
      <c r="C125" s="12"/>
      <c r="D125" s="4"/>
      <c r="E125" s="4"/>
      <c r="F125" s="4"/>
      <c r="G125" s="4"/>
    </row>
    <row r="126">
      <c r="A126" s="8" t="s">
        <v>301</v>
      </c>
      <c r="B126" s="8" t="s">
        <v>143</v>
      </c>
      <c r="C126" s="12">
        <f>(C47*C7)/2</f>
        <v>4.455</v>
      </c>
      <c r="D126" s="8" t="s">
        <v>74</v>
      </c>
      <c r="E126" s="4"/>
      <c r="F126" s="4"/>
      <c r="G126" s="4"/>
    </row>
    <row r="127">
      <c r="A127" s="8" t="s">
        <v>144</v>
      </c>
      <c r="B127" s="8" t="s">
        <v>145</v>
      </c>
      <c r="C127" s="12">
        <f>(C126)/C26</f>
        <v>0.01840909091</v>
      </c>
      <c r="D127" s="8" t="s">
        <v>113</v>
      </c>
      <c r="E127" s="4"/>
      <c r="F127" s="4"/>
      <c r="G127" s="4"/>
    </row>
    <row r="128">
      <c r="A128" s="8" t="s">
        <v>146</v>
      </c>
      <c r="B128" s="8" t="s">
        <v>147</v>
      </c>
      <c r="C128" s="12">
        <f>(C93*100)/(1000*C26)</f>
        <v>0.2769448069</v>
      </c>
      <c r="D128" s="8" t="s">
        <v>148</v>
      </c>
      <c r="E128" s="4"/>
      <c r="F128" s="4"/>
      <c r="G128" s="4"/>
    </row>
    <row r="129">
      <c r="A129" s="5" t="s">
        <v>149</v>
      </c>
      <c r="B129" s="4"/>
      <c r="C129" s="12"/>
      <c r="D129" s="4"/>
      <c r="E129" s="4"/>
      <c r="F129" s="4"/>
      <c r="G129" s="4"/>
    </row>
    <row r="130">
      <c r="A130" s="8" t="s">
        <v>150</v>
      </c>
      <c r="B130" s="8" t="s">
        <v>151</v>
      </c>
      <c r="C130" s="16">
        <f>IF(C128&lt;0.15,0.28,IF(C128&lt;0.25,0.36,IF(C128&lt;0.5,0.49,IF(C128&lt;0.75,0.57,IF(C128&lt;1,0.64,IF(C128&lt;1.25,0.71,IF(C128&lt;1.5,0.76,0.82)))))))*SQRT(C11)/SQRT(25)</f>
        <v>0.5367681064</v>
      </c>
      <c r="D130" s="8" t="s">
        <v>113</v>
      </c>
      <c r="E130" s="4"/>
      <c r="F130" s="4"/>
      <c r="G130" s="4"/>
    </row>
    <row r="131">
      <c r="A131" s="8" t="s">
        <v>152</v>
      </c>
      <c r="B131" s="8" t="s">
        <v>153</v>
      </c>
      <c r="C131" s="12">
        <f>0.5*SQRT(C11)</f>
        <v>2.738612788</v>
      </c>
      <c r="D131" s="8" t="s">
        <v>113</v>
      </c>
      <c r="E131" s="4"/>
      <c r="F131" s="4"/>
      <c r="G131" s="4"/>
    </row>
    <row r="132">
      <c r="A132" s="5" t="s">
        <v>302</v>
      </c>
      <c r="B132" s="4"/>
      <c r="C132" s="12"/>
      <c r="D132" s="4"/>
      <c r="E132" s="4"/>
      <c r="F132" s="4"/>
      <c r="G132" s="4"/>
    </row>
    <row r="133">
      <c r="A133" s="8" t="s">
        <v>155</v>
      </c>
      <c r="B133" s="8" t="s">
        <v>15</v>
      </c>
      <c r="C133" s="12" t="str">
        <f>IF(C127&lt;C130,"SAFE","INCREASE THICKNESS")</f>
        <v>SAFE</v>
      </c>
      <c r="D133" s="4"/>
      <c r="E133" s="4"/>
      <c r="F133" s="4"/>
      <c r="G133" s="4"/>
    </row>
    <row r="134">
      <c r="A134" s="8" t="s">
        <v>156</v>
      </c>
      <c r="B134" s="8" t="s">
        <v>157</v>
      </c>
      <c r="C134" s="12">
        <f>C130/C127</f>
        <v>29.15777368</v>
      </c>
      <c r="D134" s="8" t="s">
        <v>15</v>
      </c>
      <c r="E134" s="4"/>
      <c r="F134" s="4"/>
      <c r="G134" s="4"/>
    </row>
    <row r="135">
      <c r="A135" s="4"/>
      <c r="B135" s="4"/>
      <c r="C135" s="12"/>
      <c r="D135" s="4"/>
      <c r="E135" s="4"/>
      <c r="F135" s="4"/>
      <c r="G135" s="4"/>
    </row>
    <row r="136">
      <c r="A136" s="5" t="s">
        <v>303</v>
      </c>
      <c r="B136" s="4"/>
      <c r="C136" s="12"/>
      <c r="D136" s="4"/>
      <c r="E136" s="4"/>
      <c r="F136" s="4"/>
      <c r="G136" s="4"/>
    </row>
    <row r="137">
      <c r="A137" s="5"/>
      <c r="B137" s="4"/>
      <c r="C137" s="12"/>
      <c r="D137" s="4"/>
      <c r="E137" s="4"/>
      <c r="F137" s="4"/>
      <c r="G137" s="4"/>
    </row>
    <row r="138">
      <c r="A138" s="5" t="s">
        <v>169</v>
      </c>
      <c r="B138" s="4"/>
      <c r="C138" s="12"/>
      <c r="D138" s="4"/>
      <c r="E138" s="4"/>
      <c r="F138" s="4"/>
      <c r="G138" s="4"/>
    </row>
    <row r="139">
      <c r="A139" s="8" t="s">
        <v>170</v>
      </c>
      <c r="B139" s="8" t="s">
        <v>171</v>
      </c>
      <c r="C139" s="19">
        <v>0.2</v>
      </c>
      <c r="D139" s="8" t="s">
        <v>24</v>
      </c>
      <c r="E139" s="4"/>
      <c r="F139" s="4"/>
      <c r="G139" s="4"/>
    </row>
    <row r="140">
      <c r="A140" s="5" t="s">
        <v>304</v>
      </c>
      <c r="B140" s="4"/>
      <c r="C140" s="12"/>
      <c r="D140" s="4"/>
      <c r="E140" s="4"/>
      <c r="F140" s="4"/>
      <c r="G140" s="4"/>
    </row>
    <row r="141">
      <c r="A141" s="8" t="s">
        <v>305</v>
      </c>
      <c r="B141" s="8" t="s">
        <v>15</v>
      </c>
      <c r="C141" s="12" t="str">
        <f>IF(C45&gt;C46,"Inside Face","Outside Face")</f>
        <v>Outside Face</v>
      </c>
      <c r="D141" s="4"/>
      <c r="E141" s="4"/>
      <c r="F141" s="4"/>
      <c r="G141" s="4"/>
    </row>
    <row r="142">
      <c r="A142" s="8" t="s">
        <v>133</v>
      </c>
      <c r="B142" s="8" t="s">
        <v>306</v>
      </c>
      <c r="C142" s="12">
        <f>IF(C45&gt;C46,C93,C105)</f>
        <v>670.2064328</v>
      </c>
      <c r="D142" s="8" t="s">
        <v>122</v>
      </c>
      <c r="E142" s="4"/>
      <c r="F142" s="4"/>
      <c r="G142" s="4"/>
    </row>
    <row r="143">
      <c r="A143" s="8" t="s">
        <v>307</v>
      </c>
      <c r="B143" s="8" t="s">
        <v>308</v>
      </c>
      <c r="C143" s="12">
        <f>IF(C45&gt;C46,C92,C104)</f>
        <v>300</v>
      </c>
      <c r="D143" s="8" t="s">
        <v>24</v>
      </c>
      <c r="E143" s="4"/>
      <c r="F143" s="4"/>
      <c r="G143" s="4"/>
    </row>
    <row r="144">
      <c r="A144" s="8" t="s">
        <v>309</v>
      </c>
      <c r="B144" s="8" t="s">
        <v>23</v>
      </c>
      <c r="C144" s="12">
        <f>IF(C45&gt;C46,C13,C14)</f>
        <v>50</v>
      </c>
      <c r="D144" s="8" t="s">
        <v>24</v>
      </c>
      <c r="E144" s="4"/>
      <c r="F144" s="4"/>
      <c r="G144" s="4"/>
    </row>
    <row r="145">
      <c r="A145" s="8" t="s">
        <v>110</v>
      </c>
      <c r="B145" s="8" t="s">
        <v>39</v>
      </c>
      <c r="C145" s="12">
        <f>IF(C45&gt;C46,C26,C27)</f>
        <v>242</v>
      </c>
      <c r="D145" s="8" t="s">
        <v>24</v>
      </c>
      <c r="E145" s="4"/>
      <c r="F145" s="4"/>
      <c r="G145" s="4"/>
    </row>
    <row r="146">
      <c r="A146" s="8" t="s">
        <v>172</v>
      </c>
      <c r="B146" s="8" t="s">
        <v>162</v>
      </c>
      <c r="C146" s="12">
        <f>0.58*C12*(C88/C142)</f>
        <v>125.6568064</v>
      </c>
      <c r="D146" s="8" t="s">
        <v>113</v>
      </c>
      <c r="E146" s="4"/>
      <c r="F146" s="4"/>
      <c r="G146" s="4"/>
    </row>
    <row r="147">
      <c r="A147" s="8" t="s">
        <v>173</v>
      </c>
      <c r="B147" s="8" t="s">
        <v>174</v>
      </c>
      <c r="C147" s="12">
        <f>SQRT((C143/2)^2+(C144+C18/2)^2)</f>
        <v>160.8228839</v>
      </c>
      <c r="D147" s="8" t="s">
        <v>24</v>
      </c>
      <c r="E147" s="4"/>
      <c r="F147" s="4"/>
      <c r="G147" s="4"/>
    </row>
    <row r="148">
      <c r="A148" s="8" t="s">
        <v>175</v>
      </c>
      <c r="B148" s="8" t="s">
        <v>176</v>
      </c>
      <c r="C148" s="12">
        <f>((3*C146*C147)/(C12*1000))*SQRT((C144+C18/2)/C145)</f>
        <v>0.05935966317</v>
      </c>
      <c r="D148" s="8" t="s">
        <v>24</v>
      </c>
      <c r="E148" s="4"/>
      <c r="F148" s="4"/>
      <c r="G148" s="4"/>
    </row>
    <row r="149">
      <c r="A149" s="5" t="s">
        <v>154</v>
      </c>
      <c r="B149" s="4"/>
      <c r="C149" s="12"/>
      <c r="D149" s="4"/>
      <c r="E149" s="4"/>
      <c r="F149" s="4"/>
      <c r="G149" s="4"/>
    </row>
    <row r="150">
      <c r="A150" s="8" t="s">
        <v>155</v>
      </c>
      <c r="B150" s="8" t="s">
        <v>15</v>
      </c>
      <c r="C150" s="12" t="str">
        <f>IF(C148&lt;C139,"OK","REDUCE SPACING")</f>
        <v>OK</v>
      </c>
      <c r="D150" s="4"/>
      <c r="E150" s="4"/>
      <c r="F150" s="4"/>
      <c r="G150" s="4"/>
    </row>
    <row r="151">
      <c r="A151" s="4"/>
      <c r="B151" s="4"/>
      <c r="C151" s="12"/>
      <c r="D151" s="4"/>
      <c r="E151" s="4"/>
      <c r="F151" s="4"/>
      <c r="G151" s="4"/>
    </row>
    <row r="152">
      <c r="A152" s="5" t="s">
        <v>310</v>
      </c>
      <c r="B152" s="4"/>
      <c r="C152" s="12"/>
      <c r="D152" s="4"/>
      <c r="E152" s="4"/>
      <c r="F152" s="4"/>
      <c r="G152" s="4"/>
    </row>
    <row r="153">
      <c r="A153" s="5"/>
      <c r="B153" s="4"/>
      <c r="C153" s="12"/>
      <c r="D153" s="4"/>
      <c r="E153" s="4"/>
      <c r="F153" s="4"/>
      <c r="G153" s="4"/>
    </row>
    <row r="154">
      <c r="A154" s="8" t="s">
        <v>311</v>
      </c>
      <c r="B154" s="8" t="s">
        <v>232</v>
      </c>
      <c r="C154" s="12">
        <f>C34</f>
        <v>5.8125</v>
      </c>
      <c r="D154" s="8" t="s">
        <v>74</v>
      </c>
      <c r="E154" s="4"/>
      <c r="F154" s="4"/>
      <c r="G154" s="4"/>
    </row>
    <row r="155">
      <c r="A155" s="8" t="s">
        <v>256</v>
      </c>
      <c r="B155" s="8" t="s">
        <v>257</v>
      </c>
      <c r="C155" s="12">
        <f>(C25/1000)*C7*25</f>
        <v>7.5</v>
      </c>
      <c r="D155" s="8" t="s">
        <v>74</v>
      </c>
      <c r="E155" s="4"/>
      <c r="F155" s="4"/>
      <c r="G155" s="4"/>
    </row>
    <row r="156">
      <c r="A156" s="8" t="s">
        <v>312</v>
      </c>
      <c r="B156" s="8" t="s">
        <v>313</v>
      </c>
      <c r="C156" s="12">
        <f>C154+C155</f>
        <v>13.3125</v>
      </c>
      <c r="D156" s="8" t="s">
        <v>74</v>
      </c>
      <c r="E156" s="4"/>
      <c r="F156" s="4"/>
      <c r="G156" s="4"/>
    </row>
    <row r="157">
      <c r="A157" s="5" t="s">
        <v>314</v>
      </c>
      <c r="B157" s="4"/>
      <c r="C157" s="12"/>
      <c r="D157" s="4"/>
      <c r="E157" s="4"/>
      <c r="F157" s="4"/>
      <c r="G157" s="4"/>
    </row>
    <row r="158">
      <c r="A158" s="8" t="s">
        <v>315</v>
      </c>
      <c r="B158" s="8" t="s">
        <v>316</v>
      </c>
      <c r="C158" s="12">
        <f>C156*C6*2</f>
        <v>26.625</v>
      </c>
      <c r="D158" s="8" t="s">
        <v>65</v>
      </c>
      <c r="E158" s="4"/>
      <c r="F158" s="4"/>
      <c r="G158" s="4"/>
    </row>
    <row r="159">
      <c r="A159" s="8" t="s">
        <v>317</v>
      </c>
      <c r="B159" s="8" t="s">
        <v>318</v>
      </c>
      <c r="C159" s="12">
        <f>C158/(C6*8)</f>
        <v>3.328125</v>
      </c>
      <c r="D159" s="8" t="s">
        <v>27</v>
      </c>
      <c r="E159" s="4"/>
      <c r="F159" s="4"/>
      <c r="G159" s="4"/>
    </row>
    <row r="160">
      <c r="A160" s="4"/>
      <c r="B160" s="4"/>
      <c r="C160" s="12"/>
      <c r="D160" s="4"/>
      <c r="E160" s="4"/>
      <c r="F160" s="4"/>
      <c r="G160" s="4"/>
    </row>
    <row r="161">
      <c r="A161" s="36" t="s">
        <v>319</v>
      </c>
      <c r="B161" s="37"/>
      <c r="C161" s="38"/>
      <c r="D161" s="4"/>
      <c r="E161" s="4"/>
      <c r="F161" s="4"/>
      <c r="G161" s="4"/>
    </row>
    <row r="162">
      <c r="A162" s="37"/>
      <c r="B162" s="37"/>
      <c r="C162" s="38"/>
      <c r="D162" s="4"/>
      <c r="E162" s="4"/>
      <c r="F162" s="4"/>
      <c r="G162" s="4"/>
    </row>
    <row r="163">
      <c r="A163" s="39" t="s">
        <v>320</v>
      </c>
      <c r="B163" s="40">
        <f t="shared" ref="B163:B164" si="1">C6</f>
        <v>1</v>
      </c>
      <c r="C163" s="41" t="s">
        <v>11</v>
      </c>
      <c r="D163" s="4"/>
      <c r="E163" s="4"/>
      <c r="F163" s="4"/>
      <c r="G163" s="4"/>
    </row>
    <row r="164">
      <c r="A164" s="39" t="s">
        <v>321</v>
      </c>
      <c r="B164" s="40">
        <f t="shared" si="1"/>
        <v>1</v>
      </c>
      <c r="C164" s="41" t="s">
        <v>11</v>
      </c>
      <c r="D164" s="4"/>
      <c r="E164" s="4"/>
      <c r="F164" s="4"/>
      <c r="G164" s="4"/>
    </row>
    <row r="165">
      <c r="A165" s="39" t="s">
        <v>322</v>
      </c>
      <c r="B165" s="38">
        <f>C25</f>
        <v>300</v>
      </c>
      <c r="C165" s="41" t="s">
        <v>24</v>
      </c>
      <c r="D165" s="4"/>
      <c r="E165" s="4"/>
      <c r="F165" s="4"/>
      <c r="G165" s="4"/>
    </row>
    <row r="166">
      <c r="A166" s="36" t="s">
        <v>323</v>
      </c>
      <c r="B166" s="38" t="str">
        <f>C48</f>
        <v>Tank Empty - Soil Outside</v>
      </c>
      <c r="C166" s="38"/>
      <c r="D166" s="4"/>
      <c r="E166" s="4"/>
      <c r="F166" s="4"/>
      <c r="G166" s="4"/>
    </row>
    <row r="167">
      <c r="A167" s="39" t="s">
        <v>250</v>
      </c>
      <c r="B167" s="38">
        <f>C47</f>
        <v>8.91</v>
      </c>
      <c r="C167" s="41" t="s">
        <v>27</v>
      </c>
      <c r="D167" s="4"/>
      <c r="E167" s="4"/>
      <c r="F167" s="4"/>
      <c r="G167" s="4"/>
    </row>
    <row r="168">
      <c r="A168" s="36" t="s">
        <v>324</v>
      </c>
      <c r="B168" s="37"/>
      <c r="C168" s="38"/>
      <c r="D168" s="4"/>
      <c r="E168" s="4"/>
      <c r="F168" s="4"/>
      <c r="G168" s="4"/>
    </row>
    <row r="169">
      <c r="A169" s="39" t="s">
        <v>325</v>
      </c>
      <c r="B169" s="37" t="str">
        <f>C18&amp;"mm φ @ "&amp;C92&amp;" mm c/c"</f>
        <v>16mm φ @ 300 mm c/c</v>
      </c>
      <c r="C169" s="38"/>
      <c r="D169" s="4"/>
      <c r="E169" s="4"/>
      <c r="F169" s="4"/>
      <c r="G169" s="4"/>
    </row>
    <row r="170">
      <c r="A170" s="39" t="s">
        <v>326</v>
      </c>
      <c r="B170" s="37" t="str">
        <f>C18&amp;"mm φ @ "&amp;C104&amp;" mm c/c"</f>
        <v>16mm φ @ 300 mm c/c</v>
      </c>
      <c r="C170" s="38"/>
      <c r="D170" s="4"/>
      <c r="E170" s="4"/>
      <c r="F170" s="4"/>
      <c r="G170" s="4"/>
    </row>
    <row r="171">
      <c r="A171" s="39" t="s">
        <v>327</v>
      </c>
      <c r="B171" s="37" t="str">
        <f>C19&amp;"mm φ @ "&amp;C116&amp;" mm c/c"</f>
        <v>12mm φ @ 300 mm c/c</v>
      </c>
      <c r="C171" s="38"/>
      <c r="D171" s="4"/>
      <c r="E171" s="4"/>
      <c r="F171" s="4"/>
      <c r="G171" s="4"/>
    </row>
    <row r="172">
      <c r="A172" s="36" t="s">
        <v>185</v>
      </c>
      <c r="B172" s="37"/>
      <c r="C172" s="38"/>
      <c r="D172" s="4"/>
      <c r="E172" s="4"/>
      <c r="F172" s="4"/>
      <c r="G172" s="4"/>
    </row>
    <row r="173">
      <c r="A173" s="39" t="s">
        <v>328</v>
      </c>
      <c r="B173" s="38" t="str">
        <f>C58</f>
        <v>OK - Primarily Flexure</v>
      </c>
      <c r="C173" s="38"/>
      <c r="D173" s="4"/>
      <c r="E173" s="4"/>
      <c r="F173" s="4"/>
      <c r="G173" s="4"/>
    </row>
    <row r="174">
      <c r="A174" s="39" t="s">
        <v>186</v>
      </c>
      <c r="B174" s="38" t="str">
        <f>C133</f>
        <v>SAFE</v>
      </c>
      <c r="C174" s="38"/>
      <c r="D174" s="4"/>
      <c r="E174" s="4"/>
      <c r="F174" s="4"/>
      <c r="G174" s="4"/>
    </row>
    <row r="175">
      <c r="A175" s="39" t="s">
        <v>188</v>
      </c>
      <c r="B175" s="38" t="str">
        <f>C150</f>
        <v>OK</v>
      </c>
      <c r="C175" s="38"/>
      <c r="D175" s="4"/>
      <c r="E175" s="4"/>
      <c r="F175" s="4"/>
      <c r="G175" s="4"/>
    </row>
    <row r="176">
      <c r="A176" s="42"/>
      <c r="B176" s="42"/>
      <c r="C176" s="43"/>
      <c r="D176" s="4"/>
      <c r="E176" s="4"/>
      <c r="F176" s="4"/>
      <c r="G176" s="4"/>
    </row>
    <row r="177">
      <c r="A177" s="7" t="s">
        <v>329</v>
      </c>
      <c r="B177" s="42"/>
      <c r="C177" s="43"/>
      <c r="D177" s="4"/>
      <c r="E177" s="4"/>
      <c r="F177" s="4"/>
      <c r="G177" s="4"/>
    </row>
    <row r="178">
      <c r="A178" s="10" t="s">
        <v>330</v>
      </c>
      <c r="B178" s="44">
        <f>C156</f>
        <v>13.3125</v>
      </c>
      <c r="C178" s="32" t="s">
        <v>74</v>
      </c>
      <c r="D178" s="4"/>
      <c r="E178" s="4"/>
      <c r="F178" s="4"/>
      <c r="G178" s="4"/>
    </row>
    <row r="179">
      <c r="A179" s="4"/>
      <c r="B179" s="4"/>
      <c r="C179" s="4"/>
      <c r="D179" s="4"/>
      <c r="E179" s="4"/>
      <c r="F179" s="4"/>
      <c r="G179" s="4"/>
    </row>
    <row r="180">
      <c r="A180" s="4"/>
      <c r="B180" s="4"/>
      <c r="C180" s="4"/>
      <c r="D180" s="4"/>
      <c r="E180" s="4"/>
      <c r="F180" s="4"/>
      <c r="G180" s="4"/>
    </row>
    <row r="181">
      <c r="A181" s="4"/>
      <c r="B181" s="4"/>
      <c r="C181" s="4"/>
      <c r="D181" s="4"/>
      <c r="E181" s="4"/>
      <c r="F181" s="4"/>
      <c r="G181" s="4"/>
    </row>
  </sheetData>
  <mergeCells count="2">
    <mergeCell ref="A1:D1"/>
    <mergeCell ref="E55:G5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13.75"/>
    <col customWidth="1" min="3" max="3" width="20.75"/>
  </cols>
  <sheetData>
    <row r="1">
      <c r="A1" s="3" t="s">
        <v>331</v>
      </c>
      <c r="E1" s="4"/>
      <c r="F1" s="4"/>
      <c r="G1" s="4"/>
      <c r="H1" s="4"/>
      <c r="I1" s="4"/>
    </row>
    <row r="2">
      <c r="A2" s="4"/>
      <c r="B2" s="4"/>
      <c r="C2" s="4"/>
      <c r="D2" s="4"/>
      <c r="E2" s="4"/>
      <c r="F2" s="4"/>
      <c r="G2" s="4"/>
      <c r="H2" s="4"/>
      <c r="I2" s="4"/>
    </row>
    <row r="3">
      <c r="A3" s="45" t="s">
        <v>332</v>
      </c>
      <c r="B3" s="42"/>
      <c r="C3" s="42"/>
      <c r="D3" s="42"/>
      <c r="E3" s="4"/>
      <c r="F3" s="4"/>
      <c r="G3" s="4"/>
      <c r="H3" s="4"/>
      <c r="I3" s="4"/>
    </row>
    <row r="4">
      <c r="A4" s="10"/>
      <c r="B4" s="10"/>
      <c r="C4" s="10"/>
      <c r="D4" s="10"/>
      <c r="E4" s="4"/>
      <c r="F4" s="4"/>
      <c r="G4" s="4"/>
      <c r="H4" s="4"/>
      <c r="I4" s="4"/>
    </row>
    <row r="5">
      <c r="A5" s="7" t="s">
        <v>5</v>
      </c>
      <c r="B5" s="7" t="s">
        <v>6</v>
      </c>
      <c r="C5" s="7" t="s">
        <v>7</v>
      </c>
      <c r="D5" s="7" t="s">
        <v>8</v>
      </c>
      <c r="E5" s="4"/>
      <c r="F5" s="4"/>
      <c r="G5" s="4"/>
      <c r="H5" s="4"/>
      <c r="I5" s="4"/>
    </row>
    <row r="6">
      <c r="A6" s="10" t="s">
        <v>193</v>
      </c>
      <c r="B6" s="10" t="s">
        <v>194</v>
      </c>
      <c r="C6" s="46">
        <f>Inputs!B2</f>
        <v>1</v>
      </c>
      <c r="D6" s="10" t="s">
        <v>11</v>
      </c>
      <c r="E6" s="4"/>
      <c r="F6" s="4"/>
      <c r="G6" s="4"/>
      <c r="H6" s="4"/>
      <c r="I6" s="4"/>
    </row>
    <row r="7">
      <c r="A7" s="10" t="s">
        <v>195</v>
      </c>
      <c r="B7" s="10" t="s">
        <v>196</v>
      </c>
      <c r="C7" s="46">
        <f>Inputs!C2</f>
        <v>1</v>
      </c>
      <c r="D7" s="10" t="s">
        <v>11</v>
      </c>
      <c r="E7" s="4"/>
      <c r="F7" s="4"/>
      <c r="G7" s="4"/>
      <c r="H7" s="4"/>
      <c r="I7" s="4"/>
    </row>
    <row r="8">
      <c r="A8" s="10" t="s">
        <v>197</v>
      </c>
      <c r="B8" s="10" t="s">
        <v>198</v>
      </c>
      <c r="C8" s="10">
        <f>C7-0.5</f>
        <v>0.5</v>
      </c>
      <c r="D8" s="10" t="s">
        <v>11</v>
      </c>
      <c r="E8" s="4"/>
      <c r="F8" s="4"/>
      <c r="G8" s="4"/>
      <c r="H8" s="4"/>
      <c r="I8" s="4"/>
    </row>
    <row r="9">
      <c r="A9" s="10" t="s">
        <v>199</v>
      </c>
      <c r="B9" s="10" t="s">
        <v>200</v>
      </c>
      <c r="C9" s="29">
        <f>C7</f>
        <v>1</v>
      </c>
      <c r="D9" s="10" t="s">
        <v>11</v>
      </c>
      <c r="E9" s="4"/>
      <c r="F9" s="4"/>
      <c r="G9" s="4"/>
      <c r="H9" s="4"/>
      <c r="I9" s="4"/>
    </row>
    <row r="10">
      <c r="A10" s="10" t="s">
        <v>201</v>
      </c>
      <c r="B10" s="10" t="s">
        <v>15</v>
      </c>
      <c r="C10" s="47" t="s">
        <v>333</v>
      </c>
      <c r="D10" s="10" t="s">
        <v>15</v>
      </c>
      <c r="E10" s="4"/>
      <c r="F10" s="4"/>
      <c r="G10" s="4"/>
      <c r="H10" s="4"/>
      <c r="I10" s="4"/>
    </row>
    <row r="11">
      <c r="A11" s="10" t="s">
        <v>17</v>
      </c>
      <c r="B11" s="10" t="s">
        <v>18</v>
      </c>
      <c r="C11" s="47">
        <v>30.0</v>
      </c>
      <c r="D11" s="10" t="s">
        <v>19</v>
      </c>
      <c r="E11" s="4"/>
      <c r="F11" s="4"/>
      <c r="G11" s="4"/>
      <c r="H11" s="4"/>
      <c r="I11" s="4"/>
    </row>
    <row r="12">
      <c r="A12" s="10" t="s">
        <v>20</v>
      </c>
      <c r="B12" s="10" t="s">
        <v>21</v>
      </c>
      <c r="C12" s="47">
        <v>500.0</v>
      </c>
      <c r="D12" s="10" t="s">
        <v>19</v>
      </c>
      <c r="E12" s="4"/>
      <c r="F12" s="4"/>
      <c r="G12" s="4"/>
      <c r="H12" s="4"/>
      <c r="I12" s="4"/>
    </row>
    <row r="13">
      <c r="A13" s="10" t="s">
        <v>203</v>
      </c>
      <c r="B13" s="10" t="s">
        <v>204</v>
      </c>
      <c r="C13" s="47">
        <v>50.0</v>
      </c>
      <c r="D13" s="10" t="s">
        <v>24</v>
      </c>
      <c r="E13" s="4"/>
      <c r="F13" s="4"/>
      <c r="G13" s="4"/>
      <c r="H13" s="4"/>
      <c r="I13" s="4"/>
    </row>
    <row r="14">
      <c r="A14" s="10" t="s">
        <v>205</v>
      </c>
      <c r="B14" s="10" t="s">
        <v>206</v>
      </c>
      <c r="C14" s="47">
        <v>50.0</v>
      </c>
      <c r="D14" s="10" t="s">
        <v>24</v>
      </c>
      <c r="E14" s="4"/>
      <c r="F14" s="4"/>
      <c r="G14" s="4"/>
      <c r="H14" s="4"/>
      <c r="I14" s="4"/>
    </row>
    <row r="15">
      <c r="A15" s="10" t="s">
        <v>207</v>
      </c>
      <c r="B15" s="10" t="s">
        <v>208</v>
      </c>
      <c r="C15" s="47">
        <v>10.0</v>
      </c>
      <c r="D15" s="10" t="s">
        <v>209</v>
      </c>
      <c r="E15" s="4"/>
      <c r="F15" s="4"/>
      <c r="G15" s="4"/>
      <c r="H15" s="4"/>
      <c r="I15" s="4"/>
    </row>
    <row r="16">
      <c r="A16" s="10" t="s">
        <v>210</v>
      </c>
      <c r="B16" s="10" t="s">
        <v>211</v>
      </c>
      <c r="C16" s="47">
        <v>18.0</v>
      </c>
      <c r="D16" s="10" t="s">
        <v>209</v>
      </c>
      <c r="E16" s="4"/>
      <c r="F16" s="4"/>
      <c r="G16" s="4"/>
      <c r="H16" s="4"/>
      <c r="I16" s="4"/>
    </row>
    <row r="17">
      <c r="A17" s="10" t="s">
        <v>212</v>
      </c>
      <c r="B17" s="10" t="s">
        <v>213</v>
      </c>
      <c r="C17" s="47">
        <v>0.33</v>
      </c>
      <c r="D17" s="10" t="s">
        <v>15</v>
      </c>
      <c r="E17" s="4"/>
      <c r="F17" s="4"/>
      <c r="G17" s="4"/>
      <c r="H17" s="4"/>
      <c r="I17" s="4"/>
    </row>
    <row r="18">
      <c r="A18" s="10" t="s">
        <v>30</v>
      </c>
      <c r="B18" s="10" t="s">
        <v>31</v>
      </c>
      <c r="C18" s="47">
        <v>16.0</v>
      </c>
      <c r="D18" s="10" t="s">
        <v>24</v>
      </c>
      <c r="E18" s="4"/>
      <c r="F18" s="4"/>
      <c r="G18" s="4"/>
      <c r="H18" s="4"/>
      <c r="I18" s="4"/>
    </row>
    <row r="19">
      <c r="A19" s="10" t="s">
        <v>32</v>
      </c>
      <c r="B19" s="10" t="s">
        <v>33</v>
      </c>
      <c r="C19" s="47">
        <v>12.0</v>
      </c>
      <c r="D19" s="10" t="s">
        <v>24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7" t="s">
        <v>214</v>
      </c>
      <c r="B21" s="10" t="s">
        <v>215</v>
      </c>
      <c r="C21" s="32">
        <f>'Roof Slab'!B162</f>
        <v>5.8125</v>
      </c>
      <c r="D21" s="10" t="s">
        <v>74</v>
      </c>
      <c r="E21" s="4"/>
      <c r="F21" s="4"/>
      <c r="G21" s="4"/>
      <c r="H21" s="4"/>
      <c r="I21" s="4"/>
    </row>
    <row r="22">
      <c r="A22" s="4"/>
      <c r="B22" s="4"/>
      <c r="C22" s="4"/>
      <c r="D22" s="4"/>
      <c r="E22" s="4"/>
      <c r="F22" s="4"/>
      <c r="G22" s="4"/>
      <c r="H22" s="4"/>
      <c r="I22" s="4"/>
    </row>
    <row r="23">
      <c r="A23" s="6" t="s">
        <v>34</v>
      </c>
      <c r="B23" s="4"/>
      <c r="C23" s="4"/>
      <c r="D23" s="4"/>
      <c r="E23" s="4"/>
      <c r="F23" s="4"/>
      <c r="G23" s="4"/>
      <c r="H23" s="4"/>
      <c r="I23" s="4"/>
    </row>
    <row r="24">
      <c r="A24" s="5"/>
      <c r="B24" s="4"/>
      <c r="C24" s="4"/>
      <c r="D24" s="4"/>
      <c r="E24" s="4"/>
      <c r="F24" s="4"/>
      <c r="G24" s="4"/>
      <c r="H24" s="4"/>
      <c r="I24" s="4"/>
    </row>
    <row r="25">
      <c r="A25" s="8" t="s">
        <v>217</v>
      </c>
      <c r="B25" s="8" t="s">
        <v>218</v>
      </c>
      <c r="C25" s="4">
        <f>MROUND(MAX(300,C7*1000/12),50)</f>
        <v>300</v>
      </c>
      <c r="D25" s="8" t="s">
        <v>24</v>
      </c>
      <c r="E25" s="4"/>
      <c r="F25" s="4"/>
      <c r="G25" s="4"/>
      <c r="H25" s="4"/>
      <c r="I25" s="4"/>
    </row>
    <row r="26">
      <c r="A26" s="8" t="s">
        <v>219</v>
      </c>
      <c r="B26" s="8" t="s">
        <v>220</v>
      </c>
      <c r="C26" s="4">
        <f>ROUNDUP(C25/10,0)*10</f>
        <v>300</v>
      </c>
      <c r="D26" s="8" t="s">
        <v>24</v>
      </c>
      <c r="E26" s="4"/>
      <c r="F26" s="4"/>
      <c r="G26" s="4"/>
      <c r="H26" s="4"/>
      <c r="I26" s="4"/>
    </row>
    <row r="27">
      <c r="A27" s="8" t="s">
        <v>221</v>
      </c>
      <c r="B27" s="8" t="s">
        <v>222</v>
      </c>
      <c r="C27" s="4">
        <f>C26-C13-C18/2</f>
        <v>242</v>
      </c>
      <c r="D27" s="8" t="s">
        <v>24</v>
      </c>
      <c r="E27" s="4"/>
      <c r="F27" s="4"/>
      <c r="G27" s="4"/>
      <c r="H27" s="4"/>
      <c r="I27" s="4"/>
    </row>
    <row r="28">
      <c r="A28" s="8" t="s">
        <v>223</v>
      </c>
      <c r="B28" s="8" t="s">
        <v>224</v>
      </c>
      <c r="C28" s="4">
        <f>C26-C14-C18/2</f>
        <v>242</v>
      </c>
      <c r="D28" s="8" t="s">
        <v>24</v>
      </c>
      <c r="E28" s="4"/>
      <c r="F28" s="4"/>
      <c r="G28" s="4"/>
      <c r="H28" s="4"/>
      <c r="I28" s="4"/>
    </row>
    <row r="29">
      <c r="A29" s="8" t="s">
        <v>225</v>
      </c>
      <c r="B29" s="8" t="s">
        <v>226</v>
      </c>
      <c r="C29" s="4">
        <f>C13+C18/2</f>
        <v>58</v>
      </c>
      <c r="D29" s="8" t="s">
        <v>24</v>
      </c>
      <c r="E29" s="4"/>
      <c r="F29" s="4"/>
      <c r="G29" s="4"/>
      <c r="H29" s="4"/>
      <c r="I29" s="4"/>
    </row>
    <row r="30">
      <c r="A30" s="8" t="s">
        <v>227</v>
      </c>
      <c r="B30" s="8" t="s">
        <v>228</v>
      </c>
      <c r="C30" s="4">
        <f>C14+C18/2</f>
        <v>58</v>
      </c>
      <c r="D30" s="8" t="s">
        <v>24</v>
      </c>
      <c r="E30" s="4"/>
      <c r="F30" s="4"/>
      <c r="G30" s="4"/>
      <c r="H30" s="4"/>
      <c r="I30" s="4"/>
    </row>
    <row r="31">
      <c r="A31" s="4"/>
      <c r="B31" s="4"/>
      <c r="C31" s="4"/>
      <c r="D31" s="4"/>
      <c r="E31" s="4"/>
      <c r="F31" s="4"/>
      <c r="G31" s="4"/>
      <c r="H31" s="4"/>
      <c r="I31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3">
      <c r="A33" s="6" t="s">
        <v>46</v>
      </c>
      <c r="B33" s="4"/>
      <c r="C33" s="4"/>
      <c r="D33" s="4"/>
      <c r="E33" s="4"/>
      <c r="F33" s="4"/>
      <c r="G33" s="4"/>
      <c r="H33" s="4"/>
      <c r="I33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5">
      <c r="A35" s="5" t="s">
        <v>230</v>
      </c>
      <c r="B35" s="4"/>
      <c r="C35" s="4"/>
      <c r="D35" s="4"/>
      <c r="E35" s="4"/>
      <c r="F35" s="4"/>
      <c r="G35" s="4"/>
      <c r="H35" s="4"/>
      <c r="I35" s="4"/>
    </row>
    <row r="36">
      <c r="A36" s="8" t="s">
        <v>231</v>
      </c>
      <c r="B36" s="8" t="s">
        <v>232</v>
      </c>
      <c r="C36" s="12">
        <f>C21</f>
        <v>5.8125</v>
      </c>
      <c r="D36" s="8" t="s">
        <v>74</v>
      </c>
      <c r="E36" s="4"/>
      <c r="F36" s="4"/>
      <c r="G36" s="4"/>
      <c r="H36" s="4"/>
      <c r="I36" s="4"/>
    </row>
    <row r="37">
      <c r="A37" s="5" t="s">
        <v>334</v>
      </c>
      <c r="B37" s="4"/>
      <c r="C37" s="4"/>
      <c r="D37" s="4"/>
      <c r="E37" s="4"/>
      <c r="F37" s="4"/>
      <c r="G37" s="4"/>
      <c r="H37" s="4"/>
      <c r="I37" s="4"/>
    </row>
    <row r="38">
      <c r="A38" s="8" t="s">
        <v>234</v>
      </c>
      <c r="B38" s="8" t="s">
        <v>235</v>
      </c>
      <c r="C38" s="4">
        <f>C8*C15</f>
        <v>5</v>
      </c>
      <c r="D38" s="8" t="s">
        <v>27</v>
      </c>
      <c r="E38" s="4"/>
      <c r="F38" s="4"/>
      <c r="G38" s="4"/>
      <c r="H38" s="4"/>
      <c r="I38" s="4"/>
    </row>
    <row r="39">
      <c r="A39" s="8" t="s">
        <v>236</v>
      </c>
      <c r="B39" s="8" t="s">
        <v>208</v>
      </c>
      <c r="C39" s="48">
        <v>1.5</v>
      </c>
      <c r="D39" s="8" t="s">
        <v>15</v>
      </c>
      <c r="E39" s="4"/>
      <c r="F39" s="4"/>
      <c r="G39" s="4"/>
      <c r="H39" s="4"/>
      <c r="I39" s="4"/>
    </row>
    <row r="40">
      <c r="A40" s="8" t="s">
        <v>237</v>
      </c>
      <c r="B40" s="8" t="s">
        <v>238</v>
      </c>
      <c r="C40" s="4">
        <f>C38*C39</f>
        <v>7.5</v>
      </c>
      <c r="D40" s="8" t="s">
        <v>27</v>
      </c>
      <c r="E40" s="4"/>
      <c r="F40" s="4"/>
      <c r="G40" s="4"/>
      <c r="H40" s="4"/>
      <c r="I40" s="4"/>
    </row>
    <row r="41">
      <c r="A41" s="5" t="s">
        <v>239</v>
      </c>
      <c r="B41" s="4"/>
      <c r="C41" s="4"/>
      <c r="D41" s="4"/>
      <c r="E41" s="4"/>
      <c r="F41" s="4"/>
      <c r="G41" s="4"/>
      <c r="H41" s="4"/>
      <c r="I41" s="4"/>
    </row>
    <row r="42">
      <c r="A42" s="8" t="s">
        <v>240</v>
      </c>
      <c r="B42" s="8" t="s">
        <v>241</v>
      </c>
      <c r="C42" s="4">
        <f>C9*C16*C17</f>
        <v>5.94</v>
      </c>
      <c r="D42" s="8" t="s">
        <v>27</v>
      </c>
      <c r="E42" s="4"/>
      <c r="F42" s="4"/>
      <c r="G42" s="4"/>
      <c r="H42" s="4"/>
      <c r="I42" s="4"/>
    </row>
    <row r="43">
      <c r="A43" s="8" t="s">
        <v>242</v>
      </c>
      <c r="B43" s="8" t="s">
        <v>211</v>
      </c>
      <c r="C43" s="48">
        <v>1.5</v>
      </c>
      <c r="D43" s="8" t="s">
        <v>15</v>
      </c>
      <c r="E43" s="4"/>
      <c r="F43" s="4"/>
      <c r="G43" s="4"/>
      <c r="H43" s="4"/>
      <c r="I43" s="4"/>
    </row>
    <row r="44">
      <c r="A44" s="8" t="s">
        <v>243</v>
      </c>
      <c r="B44" s="8" t="s">
        <v>244</v>
      </c>
      <c r="C44" s="4">
        <f>C42*C43</f>
        <v>8.91</v>
      </c>
      <c r="D44" s="8" t="s">
        <v>27</v>
      </c>
      <c r="E44" s="4"/>
      <c r="F44" s="4"/>
      <c r="G44" s="4"/>
      <c r="H44" s="4"/>
      <c r="I44" s="4"/>
    </row>
    <row r="45">
      <c r="A45" s="4"/>
      <c r="B45" s="4"/>
      <c r="C45" s="4"/>
      <c r="D45" s="4"/>
      <c r="E45" s="4"/>
      <c r="F45" s="4"/>
      <c r="G45" s="4"/>
      <c r="H45" s="4"/>
      <c r="I45" s="4"/>
    </row>
    <row r="46">
      <c r="A46" s="15" t="s">
        <v>245</v>
      </c>
      <c r="B46" s="4"/>
      <c r="C46" s="4"/>
      <c r="D46" s="4"/>
      <c r="E46" s="4"/>
      <c r="F46" s="4"/>
      <c r="G46" s="4"/>
      <c r="H46" s="4"/>
      <c r="I46" s="4"/>
    </row>
    <row r="47">
      <c r="A47" s="8" t="s">
        <v>246</v>
      </c>
      <c r="B47" s="8" t="s">
        <v>247</v>
      </c>
      <c r="C47" s="4">
        <f>C40</f>
        <v>7.5</v>
      </c>
      <c r="D47" s="8" t="s">
        <v>27</v>
      </c>
      <c r="E47" s="4"/>
      <c r="F47" s="4"/>
      <c r="G47" s="4"/>
      <c r="H47" s="4"/>
      <c r="I47" s="4"/>
    </row>
    <row r="48">
      <c r="A48" s="8" t="s">
        <v>248</v>
      </c>
      <c r="B48" s="8" t="s">
        <v>249</v>
      </c>
      <c r="C48" s="4">
        <f>C44</f>
        <v>8.91</v>
      </c>
      <c r="D48" s="8" t="s">
        <v>27</v>
      </c>
      <c r="E48" s="4"/>
      <c r="F48" s="4"/>
      <c r="G48" s="4"/>
      <c r="H48" s="4"/>
      <c r="I48" s="4"/>
    </row>
    <row r="49">
      <c r="A49" s="8" t="s">
        <v>250</v>
      </c>
      <c r="B49" s="8" t="s">
        <v>251</v>
      </c>
      <c r="C49" s="4">
        <f>MAX(C47,C48)</f>
        <v>8.91</v>
      </c>
      <c r="D49" s="8" t="s">
        <v>27</v>
      </c>
      <c r="E49" s="4"/>
      <c r="F49" s="4"/>
      <c r="G49" s="4"/>
      <c r="H49" s="4"/>
      <c r="I49" s="4"/>
    </row>
    <row r="50">
      <c r="A50" s="8" t="s">
        <v>252</v>
      </c>
      <c r="B50" s="8" t="s">
        <v>15</v>
      </c>
      <c r="C50" s="4" t="str">
        <f>IF(C47&gt;C48,"Tank Full - Water Inside","Tank Empty - Soil Outside")</f>
        <v>Tank Empty - Soil Outside</v>
      </c>
      <c r="D50" s="4"/>
      <c r="E50" s="4"/>
      <c r="F50" s="4"/>
      <c r="G50" s="4"/>
      <c r="H50" s="4"/>
      <c r="I50" s="4"/>
    </row>
    <row r="51">
      <c r="A51" s="4"/>
      <c r="B51" s="4"/>
      <c r="C51" s="4"/>
      <c r="D51" s="4"/>
      <c r="E51" s="4"/>
      <c r="F51" s="4"/>
      <c r="G51" s="4"/>
      <c r="H51" s="4"/>
      <c r="I51" s="4"/>
    </row>
    <row r="52">
      <c r="A52" s="6" t="s">
        <v>253</v>
      </c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7" t="s">
        <v>254</v>
      </c>
      <c r="B54" s="42"/>
      <c r="C54" s="42"/>
      <c r="D54" s="42"/>
      <c r="E54" s="4"/>
      <c r="F54" s="4"/>
      <c r="G54" s="4"/>
      <c r="H54" s="4"/>
      <c r="I54" s="4"/>
    </row>
    <row r="55">
      <c r="A55" s="10" t="s">
        <v>255</v>
      </c>
      <c r="B55" s="10" t="s">
        <v>232</v>
      </c>
      <c r="C55" s="43">
        <f>C36</f>
        <v>5.8125</v>
      </c>
      <c r="D55" s="10" t="s">
        <v>74</v>
      </c>
      <c r="E55" s="4"/>
      <c r="F55" s="4"/>
      <c r="G55" s="4"/>
      <c r="H55" s="4"/>
      <c r="I55" s="4"/>
    </row>
    <row r="56">
      <c r="A56" s="10" t="s">
        <v>256</v>
      </c>
      <c r="B56" s="10" t="s">
        <v>257</v>
      </c>
      <c r="C56" s="42">
        <f>(C26/1000)*C7*25</f>
        <v>7.5</v>
      </c>
      <c r="D56" s="10" t="s">
        <v>74</v>
      </c>
      <c r="E56" s="4"/>
      <c r="F56" s="4"/>
      <c r="G56" s="4"/>
      <c r="H56" s="4"/>
      <c r="I56" s="4"/>
    </row>
    <row r="57">
      <c r="A57" s="10" t="s">
        <v>258</v>
      </c>
      <c r="B57" s="10" t="s">
        <v>259</v>
      </c>
      <c r="C57" s="43">
        <f>C55+C56</f>
        <v>13.3125</v>
      </c>
      <c r="D57" s="10" t="s">
        <v>74</v>
      </c>
      <c r="E57" s="4"/>
      <c r="F57" s="4"/>
      <c r="G57" s="4"/>
      <c r="H57" s="4"/>
      <c r="I57" s="4"/>
    </row>
    <row r="58">
      <c r="A58" s="10" t="s">
        <v>261</v>
      </c>
      <c r="B58" s="10" t="s">
        <v>262</v>
      </c>
      <c r="C58" s="42">
        <f>(C57)/C26</f>
        <v>0.044375</v>
      </c>
      <c r="D58" s="10" t="s">
        <v>113</v>
      </c>
      <c r="E58" s="4"/>
      <c r="F58" s="34" t="s">
        <v>260</v>
      </c>
    </row>
    <row r="59">
      <c r="A59" s="10" t="s">
        <v>263</v>
      </c>
      <c r="B59" s="10" t="s">
        <v>264</v>
      </c>
      <c r="C59" s="42">
        <f>0.1*C11</f>
        <v>3</v>
      </c>
      <c r="D59" s="10" t="s">
        <v>113</v>
      </c>
      <c r="E59" s="4"/>
    </row>
    <row r="60">
      <c r="A60" s="10" t="s">
        <v>155</v>
      </c>
      <c r="B60" s="10" t="s">
        <v>15</v>
      </c>
      <c r="C60" s="42" t="str">
        <f>IF(C58&lt;C59,"OK - Primarily Flexure","Check as Column")</f>
        <v>OK - Primarily Flexure</v>
      </c>
      <c r="D60" s="42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6" t="s">
        <v>265</v>
      </c>
      <c r="B62" s="4"/>
      <c r="C62" s="4"/>
      <c r="D62" s="4"/>
      <c r="E62" s="4"/>
      <c r="F62" s="4"/>
      <c r="G62" s="4"/>
      <c r="H62" s="4"/>
      <c r="I62" s="4"/>
    </row>
    <row r="63">
      <c r="A63" s="5"/>
      <c r="B63" s="4"/>
      <c r="C63" s="4"/>
      <c r="D63" s="4"/>
      <c r="E63" s="4"/>
      <c r="F63" s="4"/>
      <c r="G63" s="4"/>
      <c r="H63" s="4"/>
      <c r="I63" s="4"/>
    </row>
    <row r="64">
      <c r="A64" s="5" t="s">
        <v>266</v>
      </c>
      <c r="B64" s="4"/>
      <c r="C64" s="4"/>
      <c r="D64" s="4"/>
      <c r="E64" s="4"/>
      <c r="F64" s="4"/>
      <c r="G64" s="4"/>
      <c r="H64" s="4"/>
      <c r="I64" s="4"/>
    </row>
    <row r="65">
      <c r="A65" s="8" t="s">
        <v>201</v>
      </c>
      <c r="B65" s="8" t="s">
        <v>15</v>
      </c>
      <c r="C65" s="8" t="s">
        <v>335</v>
      </c>
      <c r="D65" s="8" t="s">
        <v>15</v>
      </c>
      <c r="E65" s="4"/>
      <c r="F65" s="4"/>
      <c r="G65" s="4"/>
      <c r="H65" s="4"/>
      <c r="I65" s="4"/>
    </row>
    <row r="66">
      <c r="A66" s="5" t="s">
        <v>336</v>
      </c>
      <c r="B66" s="4"/>
      <c r="C66" s="4"/>
      <c r="D66" s="4"/>
      <c r="E66" s="4"/>
      <c r="F66" s="4"/>
      <c r="G66" s="4"/>
      <c r="H66" s="4"/>
      <c r="I66" s="4"/>
    </row>
    <row r="67">
      <c r="A67" s="8" t="s">
        <v>337</v>
      </c>
      <c r="B67" s="8" t="s">
        <v>13</v>
      </c>
      <c r="C67" s="4">
        <f>C7</f>
        <v>1</v>
      </c>
      <c r="D67" s="8" t="s">
        <v>11</v>
      </c>
      <c r="E67" s="4"/>
      <c r="F67" s="4"/>
      <c r="G67" s="4"/>
      <c r="H67" s="4"/>
      <c r="I67" s="4"/>
    </row>
    <row r="68">
      <c r="A68" s="8" t="s">
        <v>338</v>
      </c>
      <c r="B68" s="8" t="s">
        <v>10</v>
      </c>
      <c r="C68" s="4">
        <f>C6</f>
        <v>1</v>
      </c>
      <c r="D68" s="8" t="s">
        <v>11</v>
      </c>
      <c r="E68" s="4"/>
      <c r="F68" s="4"/>
      <c r="G68" s="4"/>
      <c r="H68" s="4"/>
      <c r="I68" s="4"/>
    </row>
    <row r="69">
      <c r="A69" s="8" t="s">
        <v>83</v>
      </c>
      <c r="B69" s="8" t="s">
        <v>84</v>
      </c>
      <c r="C69" s="4">
        <f>C67/C68</f>
        <v>1</v>
      </c>
      <c r="D69" s="8" t="s">
        <v>15</v>
      </c>
      <c r="E69" s="4"/>
      <c r="F69" s="4"/>
      <c r="G69" s="4"/>
      <c r="H69" s="4"/>
      <c r="I69" s="4"/>
    </row>
    <row r="70">
      <c r="A70" s="8" t="s">
        <v>270</v>
      </c>
      <c r="B70" s="8" t="s">
        <v>271</v>
      </c>
      <c r="C70" s="4">
        <f>C49</f>
        <v>8.91</v>
      </c>
      <c r="D70" s="8" t="s">
        <v>27</v>
      </c>
      <c r="E70" s="4"/>
      <c r="F70" s="4"/>
      <c r="G70" s="4"/>
      <c r="H70" s="4"/>
      <c r="I70" s="4"/>
    </row>
    <row r="71">
      <c r="A71" s="5" t="s">
        <v>339</v>
      </c>
      <c r="B71" s="4"/>
      <c r="C71" s="4"/>
      <c r="D71" s="4"/>
      <c r="E71" s="4"/>
      <c r="F71" s="4"/>
      <c r="G71" s="4"/>
      <c r="H71" s="4"/>
      <c r="I71" s="4"/>
    </row>
    <row r="72">
      <c r="A72" s="8" t="s">
        <v>340</v>
      </c>
      <c r="B72" s="8" t="s">
        <v>341</v>
      </c>
      <c r="C72" s="49">
        <f>IF(C69&lt;=0.5,0.045,IF(C69&lt;=0.6,0.055,IF(C69&lt;=0.7,0.065,IF(C69&lt;=0.8,0.075,IF(C69&lt;=0.9,0.082,0.089)))))</f>
        <v>0.089</v>
      </c>
      <c r="D72" s="8" t="s">
        <v>15</v>
      </c>
      <c r="E72" s="4"/>
      <c r="F72" s="4"/>
      <c r="G72" s="4"/>
      <c r="H72" s="4"/>
      <c r="I72" s="4"/>
    </row>
    <row r="73">
      <c r="A73" s="8" t="s">
        <v>342</v>
      </c>
      <c r="B73" s="8" t="s">
        <v>343</v>
      </c>
      <c r="C73" s="49">
        <f>IF(C69&lt;=0.5,0.045,IF(C69&lt;=0.6,0.05,IF(C69&lt;=0.7,0.053,IF(C69&lt;=0.8,0.056,IF(C69&lt;=0.9,0.058,0.06)))))</f>
        <v>0.06</v>
      </c>
      <c r="D73" s="8" t="s">
        <v>15</v>
      </c>
      <c r="E73" s="4"/>
      <c r="F73" s="4"/>
      <c r="G73" s="4"/>
      <c r="H73" s="4"/>
      <c r="I73" s="4"/>
    </row>
    <row r="74">
      <c r="A74" s="5" t="s">
        <v>95</v>
      </c>
      <c r="B74" s="4"/>
      <c r="C74" s="4"/>
      <c r="D74" s="4"/>
      <c r="E74" s="4"/>
      <c r="F74" s="4"/>
      <c r="G74" s="4"/>
      <c r="H74" s="4"/>
      <c r="I74" s="4"/>
    </row>
    <row r="75">
      <c r="A75" s="8" t="s">
        <v>344</v>
      </c>
      <c r="B75" s="8" t="s">
        <v>345</v>
      </c>
      <c r="C75" s="4">
        <f>C72*C70*C67^2</f>
        <v>0.79299</v>
      </c>
      <c r="D75" s="8" t="s">
        <v>98</v>
      </c>
      <c r="E75" s="4"/>
      <c r="F75" s="4"/>
      <c r="G75" s="4"/>
      <c r="H75" s="4"/>
      <c r="I75" s="4"/>
    </row>
    <row r="76">
      <c r="A76" s="8" t="s">
        <v>346</v>
      </c>
      <c r="B76" s="8" t="s">
        <v>347</v>
      </c>
      <c r="C76" s="4">
        <f>C73*C70*C67^2</f>
        <v>0.5346</v>
      </c>
      <c r="D76" s="8" t="s">
        <v>98</v>
      </c>
      <c r="E76" s="4"/>
      <c r="F76" s="4"/>
      <c r="G76" s="4"/>
      <c r="H76" s="4"/>
      <c r="I76" s="4"/>
    </row>
    <row r="77">
      <c r="A77" s="8" t="s">
        <v>348</v>
      </c>
      <c r="B77" s="8" t="s">
        <v>349</v>
      </c>
      <c r="C77" s="4">
        <f t="shared" ref="C77:C78" si="1">C75</f>
        <v>0.79299</v>
      </c>
      <c r="D77" s="8" t="s">
        <v>98</v>
      </c>
      <c r="E77" s="4"/>
      <c r="F77" s="4"/>
      <c r="G77" s="4"/>
      <c r="H77" s="4"/>
      <c r="I77" s="4"/>
    </row>
    <row r="78">
      <c r="A78" s="8" t="s">
        <v>350</v>
      </c>
      <c r="B78" s="8" t="s">
        <v>351</v>
      </c>
      <c r="C78" s="4">
        <f t="shared" si="1"/>
        <v>0.5346</v>
      </c>
      <c r="D78" s="8" t="s">
        <v>98</v>
      </c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6" t="s">
        <v>286</v>
      </c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5" t="s">
        <v>352</v>
      </c>
      <c r="B82" s="4"/>
      <c r="C82" s="4"/>
      <c r="D82" s="4"/>
      <c r="E82" s="4"/>
      <c r="F82" s="4"/>
      <c r="G82" s="4"/>
      <c r="H82" s="4"/>
      <c r="I82" s="4"/>
    </row>
    <row r="83">
      <c r="A83" s="5" t="s">
        <v>288</v>
      </c>
      <c r="B83" s="4"/>
      <c r="C83" s="4"/>
      <c r="D83" s="4"/>
      <c r="E83" s="4"/>
      <c r="F83" s="4"/>
      <c r="G83" s="4"/>
      <c r="H83" s="4"/>
      <c r="I83" s="4"/>
    </row>
    <row r="84">
      <c r="A84" s="8" t="s">
        <v>107</v>
      </c>
      <c r="B84" s="8" t="s">
        <v>108</v>
      </c>
      <c r="C84" s="4">
        <f>IF(C47&gt;C48,C77*1000000,0)</f>
        <v>0</v>
      </c>
      <c r="D84" s="8" t="s">
        <v>109</v>
      </c>
      <c r="E84" s="4"/>
      <c r="F84" s="4"/>
      <c r="G84" s="4"/>
      <c r="H84" s="4"/>
      <c r="I84" s="4"/>
    </row>
    <row r="85">
      <c r="A85" s="8" t="s">
        <v>110</v>
      </c>
      <c r="B85" s="8" t="s">
        <v>39</v>
      </c>
      <c r="C85" s="4">
        <f>C27</f>
        <v>242</v>
      </c>
      <c r="D85" s="8" t="s">
        <v>24</v>
      </c>
      <c r="E85" s="4"/>
      <c r="F85" s="4"/>
      <c r="G85" s="4"/>
      <c r="H85" s="4"/>
      <c r="I85" s="4"/>
    </row>
    <row r="86">
      <c r="A86" s="8" t="s">
        <v>111</v>
      </c>
      <c r="B86" s="8" t="s">
        <v>112</v>
      </c>
      <c r="C86" s="4">
        <f>IF(C84&gt;0,C84/(1000*C85^2),0)</f>
        <v>0</v>
      </c>
      <c r="D86" s="8" t="s">
        <v>113</v>
      </c>
      <c r="E86" s="4"/>
      <c r="F86" s="4"/>
      <c r="G86" s="4"/>
      <c r="H86" s="4"/>
      <c r="I86" s="4"/>
    </row>
    <row r="87">
      <c r="A87" s="8" t="s">
        <v>114</v>
      </c>
      <c r="B87" s="8" t="s">
        <v>115</v>
      </c>
      <c r="C87" s="4">
        <f>IF(C86&gt;0,(0.5*C11/C12)*(1-SQRT(1-(4.6*C86/C11))),0)</f>
        <v>0</v>
      </c>
      <c r="D87" s="8" t="s">
        <v>15</v>
      </c>
      <c r="E87" s="4"/>
      <c r="F87" s="4"/>
      <c r="G87" s="4"/>
      <c r="H87" s="4"/>
      <c r="I87" s="4"/>
    </row>
    <row r="88">
      <c r="A88" s="8" t="s">
        <v>116</v>
      </c>
      <c r="B88" s="8" t="s">
        <v>117</v>
      </c>
      <c r="C88" s="8">
        <v>0.0012</v>
      </c>
      <c r="D88" s="8" t="s">
        <v>15</v>
      </c>
      <c r="E88" s="4"/>
      <c r="F88" s="4"/>
      <c r="G88" s="4"/>
      <c r="H88" s="4"/>
      <c r="I88" s="4"/>
    </row>
    <row r="89">
      <c r="A89" s="8" t="s">
        <v>118</v>
      </c>
      <c r="B89" s="8" t="s">
        <v>119</v>
      </c>
      <c r="C89" s="4">
        <f>MAX(C87,C88)</f>
        <v>0.0012</v>
      </c>
      <c r="D89" s="8" t="s">
        <v>15</v>
      </c>
      <c r="E89" s="4"/>
      <c r="F89" s="4"/>
      <c r="G89" s="4"/>
      <c r="H89" s="4"/>
      <c r="I89" s="4"/>
    </row>
    <row r="90">
      <c r="A90" s="8" t="s">
        <v>120</v>
      </c>
      <c r="B90" s="8" t="s">
        <v>121</v>
      </c>
      <c r="C90" s="4">
        <f>C89*1000*C85</f>
        <v>290.4</v>
      </c>
      <c r="D90" s="8" t="s">
        <v>122</v>
      </c>
      <c r="E90" s="4"/>
      <c r="F90" s="4"/>
      <c r="G90" s="4"/>
      <c r="H90" s="4"/>
      <c r="I90" s="4"/>
    </row>
    <row r="91">
      <c r="A91" s="8" t="s">
        <v>123</v>
      </c>
      <c r="B91" s="8" t="s">
        <v>124</v>
      </c>
      <c r="C91" s="4">
        <f>PI()*C18^2/4</f>
        <v>201.0619298</v>
      </c>
      <c r="D91" s="8" t="s">
        <v>125</v>
      </c>
      <c r="E91" s="4"/>
      <c r="F91" s="4"/>
      <c r="G91" s="4"/>
      <c r="H91" s="4"/>
      <c r="I91" s="4"/>
    </row>
    <row r="92">
      <c r="A92" s="8" t="s">
        <v>126</v>
      </c>
      <c r="B92" s="8" t="s">
        <v>127</v>
      </c>
      <c r="C92" s="4">
        <f>C91*1000/C90</f>
        <v>692.3620173</v>
      </c>
      <c r="D92" s="8" t="s">
        <v>24</v>
      </c>
      <c r="E92" s="4"/>
      <c r="F92" s="4"/>
      <c r="G92" s="4"/>
      <c r="H92" s="4"/>
      <c r="I92" s="4"/>
    </row>
    <row r="93">
      <c r="A93" s="8" t="s">
        <v>128</v>
      </c>
      <c r="B93" s="8" t="s">
        <v>129</v>
      </c>
      <c r="C93" s="4">
        <f>MIN(3*C85,300)</f>
        <v>300</v>
      </c>
      <c r="D93" s="8" t="s">
        <v>24</v>
      </c>
      <c r="E93" s="4"/>
      <c r="F93" s="4"/>
      <c r="G93" s="4"/>
      <c r="H93" s="4"/>
      <c r="I93" s="4"/>
    </row>
    <row r="94">
      <c r="A94" s="8" t="s">
        <v>130</v>
      </c>
      <c r="B94" s="8" t="s">
        <v>131</v>
      </c>
      <c r="C94" s="4">
        <f>MIN(C93,ROUNDDOWN(C92/10,0)*10)</f>
        <v>300</v>
      </c>
      <c r="D94" s="8" t="s">
        <v>132</v>
      </c>
      <c r="E94" s="4"/>
      <c r="F94" s="4"/>
      <c r="G94" s="4"/>
      <c r="H94" s="4"/>
      <c r="I94" s="4"/>
    </row>
    <row r="95">
      <c r="A95" s="8" t="s">
        <v>133</v>
      </c>
      <c r="B95" s="8" t="s">
        <v>134</v>
      </c>
      <c r="C95" s="4">
        <f>C91*1000/C94</f>
        <v>670.2064328</v>
      </c>
      <c r="D95" s="8" t="s">
        <v>122</v>
      </c>
      <c r="E95" s="4"/>
      <c r="F95" s="4"/>
      <c r="G95" s="4"/>
      <c r="H95" s="4"/>
      <c r="I95" s="4"/>
    </row>
    <row r="96">
      <c r="A96" s="5" t="s">
        <v>289</v>
      </c>
      <c r="B96" s="4"/>
      <c r="C96" s="4"/>
      <c r="D96" s="4"/>
      <c r="E96" s="4"/>
      <c r="F96" s="4"/>
      <c r="G96" s="4"/>
      <c r="H96" s="4"/>
      <c r="I96" s="4"/>
    </row>
    <row r="97">
      <c r="A97" s="8" t="s">
        <v>107</v>
      </c>
      <c r="B97" s="8" t="s">
        <v>108</v>
      </c>
      <c r="C97" s="4">
        <f>IF(C48&gt;C47,C77*1000000,0)</f>
        <v>792990</v>
      </c>
      <c r="D97" s="8" t="s">
        <v>109</v>
      </c>
      <c r="E97" s="4"/>
      <c r="F97" s="4"/>
      <c r="G97" s="4"/>
      <c r="H97" s="4"/>
      <c r="I97" s="4"/>
    </row>
    <row r="98">
      <c r="A98" s="8" t="s">
        <v>110</v>
      </c>
      <c r="B98" s="8" t="s">
        <v>39</v>
      </c>
      <c r="C98" s="4">
        <f>C28</f>
        <v>242</v>
      </c>
      <c r="D98" s="8" t="s">
        <v>24</v>
      </c>
      <c r="E98" s="4"/>
      <c r="F98" s="4"/>
      <c r="G98" s="4"/>
      <c r="H98" s="4"/>
      <c r="I98" s="4"/>
    </row>
    <row r="99">
      <c r="A99" s="8" t="s">
        <v>111</v>
      </c>
      <c r="B99" s="8" t="s">
        <v>112</v>
      </c>
      <c r="C99" s="4">
        <f>IF(C97&gt;0,C97/(1000*C98^2),0)</f>
        <v>0.013540571</v>
      </c>
      <c r="D99" s="8" t="s">
        <v>113</v>
      </c>
      <c r="E99" s="4"/>
      <c r="F99" s="4"/>
      <c r="G99" s="4"/>
      <c r="H99" s="4"/>
      <c r="I99" s="4"/>
    </row>
    <row r="100">
      <c r="A100" s="8" t="s">
        <v>114</v>
      </c>
      <c r="B100" s="8" t="s">
        <v>115</v>
      </c>
      <c r="C100" s="4">
        <f>IF(C99&gt;0,(0.5*C11/C12)*(1-SQRT(1-(4.6*C99/C11))),0)</f>
        <v>0.0000311594952</v>
      </c>
      <c r="D100" s="8" t="s">
        <v>15</v>
      </c>
      <c r="E100" s="4"/>
      <c r="F100" s="4"/>
      <c r="G100" s="4"/>
      <c r="H100" s="4"/>
      <c r="I100" s="4"/>
    </row>
    <row r="101">
      <c r="A101" s="8" t="s">
        <v>116</v>
      </c>
      <c r="B101" s="8" t="s">
        <v>117</v>
      </c>
      <c r="C101" s="8">
        <v>0.0012</v>
      </c>
      <c r="D101" s="8" t="s">
        <v>15</v>
      </c>
      <c r="E101" s="4"/>
      <c r="F101" s="4"/>
      <c r="G101" s="4"/>
      <c r="H101" s="4"/>
      <c r="I101" s="4"/>
    </row>
    <row r="102">
      <c r="A102" s="8" t="s">
        <v>118</v>
      </c>
      <c r="B102" s="8" t="s">
        <v>119</v>
      </c>
      <c r="C102" s="4">
        <f>MAX(C100,C101)</f>
        <v>0.0012</v>
      </c>
      <c r="D102" s="8" t="s">
        <v>15</v>
      </c>
      <c r="E102" s="4"/>
      <c r="F102" s="4"/>
      <c r="G102" s="4"/>
      <c r="H102" s="4"/>
      <c r="I102" s="4"/>
    </row>
    <row r="103">
      <c r="A103" s="8" t="s">
        <v>120</v>
      </c>
      <c r="B103" s="8" t="s">
        <v>121</v>
      </c>
      <c r="C103" s="4">
        <f>C102*1000*C98</f>
        <v>290.4</v>
      </c>
      <c r="D103" s="8" t="s">
        <v>122</v>
      </c>
      <c r="E103" s="4"/>
      <c r="F103" s="4"/>
      <c r="G103" s="4"/>
      <c r="H103" s="4"/>
      <c r="I103" s="4"/>
    </row>
    <row r="104">
      <c r="A104" s="8" t="s">
        <v>126</v>
      </c>
      <c r="B104" s="8" t="s">
        <v>127</v>
      </c>
      <c r="C104" s="4">
        <f>C91*1000/C103</f>
        <v>692.3620173</v>
      </c>
      <c r="D104" s="8" t="s">
        <v>24</v>
      </c>
      <c r="E104" s="4"/>
      <c r="F104" s="4"/>
      <c r="G104" s="4"/>
      <c r="H104" s="4"/>
      <c r="I104" s="4"/>
    </row>
    <row r="105">
      <c r="A105" s="8" t="s">
        <v>290</v>
      </c>
      <c r="B105" s="8" t="s">
        <v>129</v>
      </c>
      <c r="C105" s="4">
        <f>MIN(3*C98,300)</f>
        <v>300</v>
      </c>
      <c r="D105" s="8" t="s">
        <v>24</v>
      </c>
      <c r="E105" s="4"/>
      <c r="F105" s="4"/>
      <c r="G105" s="4"/>
      <c r="H105" s="4"/>
      <c r="I105" s="4"/>
    </row>
    <row r="106">
      <c r="A106" s="8" t="s">
        <v>130</v>
      </c>
      <c r="B106" s="8" t="s">
        <v>131</v>
      </c>
      <c r="C106" s="4">
        <f>MIN(C105,ROUNDDOWN(C104/10,0)*10)</f>
        <v>300</v>
      </c>
      <c r="D106" s="8" t="s">
        <v>132</v>
      </c>
      <c r="E106" s="4"/>
      <c r="F106" s="4"/>
      <c r="G106" s="4"/>
      <c r="H106" s="4"/>
      <c r="I106" s="4"/>
    </row>
    <row r="107">
      <c r="A107" s="8" t="s">
        <v>133</v>
      </c>
      <c r="B107" s="8" t="s">
        <v>134</v>
      </c>
      <c r="C107" s="4">
        <f>C91*1000/C106</f>
        <v>670.2064328</v>
      </c>
      <c r="D107" s="8" t="s">
        <v>122</v>
      </c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6" t="s">
        <v>291</v>
      </c>
      <c r="B109" s="4"/>
      <c r="C109" s="4"/>
      <c r="D109" s="4"/>
      <c r="E109" s="4"/>
      <c r="F109" s="4"/>
      <c r="G109" s="4"/>
      <c r="H109" s="4"/>
      <c r="I109" s="4"/>
    </row>
    <row r="110">
      <c r="A110" s="8"/>
      <c r="B110" s="4"/>
      <c r="C110" s="4"/>
      <c r="D110" s="4"/>
      <c r="E110" s="4"/>
      <c r="F110" s="4"/>
      <c r="G110" s="4"/>
      <c r="H110" s="4"/>
      <c r="I110" s="4"/>
    </row>
    <row r="111">
      <c r="A111" s="7" t="s">
        <v>353</v>
      </c>
      <c r="B111" s="42"/>
      <c r="C111" s="42"/>
      <c r="D111" s="42"/>
      <c r="E111" s="4"/>
      <c r="F111" s="4"/>
      <c r="G111" s="4"/>
      <c r="H111" s="4"/>
      <c r="I111" s="4"/>
    </row>
    <row r="112">
      <c r="A112" s="50" t="s">
        <v>296</v>
      </c>
      <c r="B112" s="42"/>
      <c r="C112" s="42"/>
      <c r="D112" s="42"/>
      <c r="E112" s="4"/>
      <c r="F112" s="4"/>
      <c r="G112" s="4"/>
      <c r="H112" s="4"/>
      <c r="I112" s="4"/>
    </row>
    <row r="113">
      <c r="A113" s="10" t="s">
        <v>107</v>
      </c>
      <c r="B113" s="10" t="s">
        <v>108</v>
      </c>
      <c r="C113" s="42">
        <f>IF(C47&gt;C48,C78*1000000,C88*1000*C85*1000)</f>
        <v>290400</v>
      </c>
      <c r="D113" s="10" t="s">
        <v>109</v>
      </c>
      <c r="E113" s="4"/>
      <c r="F113" s="4"/>
      <c r="G113" s="4"/>
      <c r="H113" s="4"/>
      <c r="I113" s="4"/>
    </row>
    <row r="114">
      <c r="A114" s="10" t="s">
        <v>110</v>
      </c>
      <c r="B114" s="10" t="s">
        <v>39</v>
      </c>
      <c r="C114" s="42">
        <f>C27</f>
        <v>242</v>
      </c>
      <c r="D114" s="10" t="s">
        <v>24</v>
      </c>
      <c r="E114" s="4"/>
      <c r="F114" s="4"/>
      <c r="G114" s="4"/>
      <c r="H114" s="4"/>
      <c r="I114" s="4"/>
    </row>
    <row r="115">
      <c r="A115" s="10" t="s">
        <v>111</v>
      </c>
      <c r="B115" s="10" t="s">
        <v>112</v>
      </c>
      <c r="C115" s="42">
        <f>C113/(1000*C114^2)</f>
        <v>0.004958677686</v>
      </c>
      <c r="D115" s="10" t="s">
        <v>113</v>
      </c>
      <c r="E115" s="4"/>
      <c r="F115" s="4"/>
      <c r="G115" s="4"/>
      <c r="H115" s="4"/>
      <c r="I115" s="4"/>
    </row>
    <row r="116">
      <c r="A116" s="10" t="s">
        <v>114</v>
      </c>
      <c r="B116" s="10" t="s">
        <v>115</v>
      </c>
      <c r="C116" s="42">
        <f>(0.5*C11/C12)*(1-SQRT(1-(4.6*C115/C11)))</f>
        <v>0.00001140712739</v>
      </c>
      <c r="D116" s="10" t="s">
        <v>15</v>
      </c>
      <c r="E116" s="4"/>
      <c r="F116" s="4"/>
      <c r="G116" s="4"/>
      <c r="H116" s="4"/>
      <c r="I116" s="4"/>
    </row>
    <row r="117">
      <c r="A117" s="10" t="s">
        <v>116</v>
      </c>
      <c r="B117" s="10" t="s">
        <v>117</v>
      </c>
      <c r="C117" s="10">
        <v>0.0012</v>
      </c>
      <c r="D117" s="10" t="s">
        <v>15</v>
      </c>
      <c r="E117" s="4"/>
      <c r="F117" s="4"/>
      <c r="G117" s="4"/>
      <c r="H117" s="4"/>
      <c r="I117" s="4"/>
    </row>
    <row r="118">
      <c r="A118" s="10" t="s">
        <v>118</v>
      </c>
      <c r="B118" s="10" t="s">
        <v>119</v>
      </c>
      <c r="C118" s="42">
        <f>MAX(C116,C117)</f>
        <v>0.0012</v>
      </c>
      <c r="D118" s="10" t="s">
        <v>15</v>
      </c>
      <c r="E118" s="4"/>
      <c r="F118" s="4"/>
      <c r="G118" s="4"/>
      <c r="H118" s="4"/>
      <c r="I118" s="4"/>
    </row>
    <row r="119">
      <c r="A119" s="10" t="s">
        <v>120</v>
      </c>
      <c r="B119" s="10" t="s">
        <v>121</v>
      </c>
      <c r="C119" s="42">
        <f>C118*1000*C114</f>
        <v>290.4</v>
      </c>
      <c r="D119" s="10" t="s">
        <v>122</v>
      </c>
      <c r="E119" s="4"/>
      <c r="F119" s="4"/>
      <c r="G119" s="4"/>
      <c r="H119" s="4"/>
      <c r="I119" s="4"/>
    </row>
    <row r="120">
      <c r="A120" s="10" t="s">
        <v>123</v>
      </c>
      <c r="B120" s="10" t="s">
        <v>124</v>
      </c>
      <c r="C120" s="42">
        <f>PI()*C19^2/4</f>
        <v>113.0973355</v>
      </c>
      <c r="D120" s="10" t="s">
        <v>125</v>
      </c>
      <c r="E120" s="4"/>
      <c r="F120" s="4"/>
      <c r="G120" s="4"/>
      <c r="H120" s="4"/>
      <c r="I120" s="4"/>
    </row>
    <row r="121">
      <c r="A121" s="10" t="s">
        <v>126</v>
      </c>
      <c r="B121" s="10" t="s">
        <v>127</v>
      </c>
      <c r="C121" s="42">
        <f>C120*1000/C119</f>
        <v>389.4536347</v>
      </c>
      <c r="D121" s="10" t="s">
        <v>24</v>
      </c>
      <c r="E121" s="4"/>
      <c r="F121" s="4"/>
      <c r="G121" s="4"/>
      <c r="H121" s="4"/>
      <c r="I121" s="4"/>
    </row>
    <row r="122">
      <c r="A122" s="10" t="s">
        <v>290</v>
      </c>
      <c r="B122" s="10" t="s">
        <v>129</v>
      </c>
      <c r="C122" s="10">
        <v>300.0</v>
      </c>
      <c r="D122" s="10" t="s">
        <v>24</v>
      </c>
      <c r="E122" s="4"/>
      <c r="F122" s="4"/>
      <c r="G122" s="4"/>
      <c r="H122" s="4"/>
      <c r="I122" s="4"/>
    </row>
    <row r="123">
      <c r="A123" s="10" t="s">
        <v>130</v>
      </c>
      <c r="B123" s="10" t="s">
        <v>131</v>
      </c>
      <c r="C123" s="42">
        <f>MIN(C122,ROUNDDOWN(C121/10,0)*10)</f>
        <v>300</v>
      </c>
      <c r="D123" s="10" t="s">
        <v>132</v>
      </c>
      <c r="E123" s="4"/>
      <c r="F123" s="4"/>
      <c r="G123" s="4"/>
      <c r="H123" s="4"/>
      <c r="I123" s="4"/>
    </row>
    <row r="124">
      <c r="A124" s="10" t="s">
        <v>133</v>
      </c>
      <c r="B124" s="10" t="s">
        <v>134</v>
      </c>
      <c r="C124" s="42">
        <f>C120*1000/C123</f>
        <v>376.9911184</v>
      </c>
      <c r="D124" s="10" t="s">
        <v>122</v>
      </c>
      <c r="E124" s="4"/>
      <c r="F124" s="4"/>
      <c r="G124" s="4"/>
      <c r="H124" s="4"/>
      <c r="I124" s="4"/>
    </row>
    <row r="125">
      <c r="A125" s="50" t="s">
        <v>297</v>
      </c>
      <c r="B125" s="42"/>
      <c r="C125" s="42"/>
      <c r="D125" s="42"/>
      <c r="E125" s="4"/>
      <c r="F125" s="4"/>
      <c r="G125" s="4"/>
      <c r="H125" s="4"/>
      <c r="I125" s="4"/>
    </row>
    <row r="126">
      <c r="A126" s="10" t="s">
        <v>107</v>
      </c>
      <c r="B126" s="10" t="s">
        <v>108</v>
      </c>
      <c r="C126" s="42">
        <f>IF(C48&gt;C47,C78*1000000,C101*1000*C98*1000)</f>
        <v>534600</v>
      </c>
      <c r="D126" s="10" t="s">
        <v>109</v>
      </c>
      <c r="E126" s="4"/>
      <c r="F126" s="4"/>
      <c r="G126" s="4"/>
      <c r="H126" s="4"/>
      <c r="I126" s="4"/>
    </row>
    <row r="127">
      <c r="A127" s="10" t="s">
        <v>110</v>
      </c>
      <c r="B127" s="10" t="s">
        <v>39</v>
      </c>
      <c r="C127" s="42">
        <f>C28</f>
        <v>242</v>
      </c>
      <c r="D127" s="10" t="s">
        <v>24</v>
      </c>
      <c r="E127" s="4"/>
      <c r="F127" s="4"/>
      <c r="G127" s="4"/>
      <c r="H127" s="4"/>
      <c r="I127" s="4"/>
    </row>
    <row r="128">
      <c r="A128" s="10" t="s">
        <v>111</v>
      </c>
      <c r="B128" s="10" t="s">
        <v>112</v>
      </c>
      <c r="C128" s="42">
        <f>C126/(1000*C127^2)</f>
        <v>0.009128474831</v>
      </c>
      <c r="D128" s="10" t="s">
        <v>113</v>
      </c>
      <c r="E128" s="4"/>
      <c r="F128" s="4"/>
      <c r="G128" s="4"/>
      <c r="H128" s="4"/>
      <c r="I128" s="4"/>
    </row>
    <row r="129">
      <c r="A129" s="10" t="s">
        <v>114</v>
      </c>
      <c r="B129" s="10" t="s">
        <v>115</v>
      </c>
      <c r="C129" s="42">
        <f>(0.5*C11/C12)*(1-SQRT(1-(4.6*C128/C11)))</f>
        <v>0.0000210028441</v>
      </c>
      <c r="D129" s="10" t="s">
        <v>15</v>
      </c>
      <c r="E129" s="4"/>
      <c r="F129" s="4"/>
      <c r="G129" s="4"/>
      <c r="H129" s="4"/>
      <c r="I129" s="4"/>
    </row>
    <row r="130">
      <c r="A130" s="10" t="s">
        <v>116</v>
      </c>
      <c r="B130" s="10" t="s">
        <v>117</v>
      </c>
      <c r="C130" s="10">
        <v>0.0012</v>
      </c>
      <c r="D130" s="10" t="s">
        <v>15</v>
      </c>
      <c r="E130" s="4"/>
      <c r="F130" s="4"/>
      <c r="G130" s="4"/>
      <c r="H130" s="4"/>
      <c r="I130" s="4"/>
    </row>
    <row r="131">
      <c r="A131" s="10" t="s">
        <v>118</v>
      </c>
      <c r="B131" s="10" t="s">
        <v>119</v>
      </c>
      <c r="C131" s="42">
        <f>MAX(C129,C130)</f>
        <v>0.0012</v>
      </c>
      <c r="D131" s="10" t="s">
        <v>15</v>
      </c>
      <c r="E131" s="4"/>
      <c r="F131" s="4"/>
      <c r="G131" s="4"/>
      <c r="H131" s="4"/>
      <c r="I131" s="4"/>
    </row>
    <row r="132">
      <c r="A132" s="10" t="s">
        <v>120</v>
      </c>
      <c r="B132" s="10" t="s">
        <v>121</v>
      </c>
      <c r="C132" s="42">
        <f>C131*1000*C127</f>
        <v>290.4</v>
      </c>
      <c r="D132" s="10" t="s">
        <v>122</v>
      </c>
      <c r="E132" s="4"/>
      <c r="F132" s="4"/>
      <c r="G132" s="4"/>
      <c r="H132" s="4"/>
      <c r="I132" s="4"/>
    </row>
    <row r="133">
      <c r="A133" s="10" t="s">
        <v>126</v>
      </c>
      <c r="B133" s="10" t="s">
        <v>127</v>
      </c>
      <c r="C133" s="42">
        <f>C120*1000/C132</f>
        <v>389.4536347</v>
      </c>
      <c r="D133" s="10" t="s">
        <v>24</v>
      </c>
      <c r="E133" s="4"/>
      <c r="F133" s="4"/>
      <c r="G133" s="4"/>
      <c r="H133" s="4"/>
      <c r="I133" s="4"/>
    </row>
    <row r="134">
      <c r="A134" s="10" t="s">
        <v>290</v>
      </c>
      <c r="B134" s="10" t="s">
        <v>129</v>
      </c>
      <c r="C134" s="10">
        <v>300.0</v>
      </c>
      <c r="D134" s="10" t="s">
        <v>24</v>
      </c>
      <c r="E134" s="4"/>
      <c r="F134" s="4"/>
      <c r="G134" s="4"/>
      <c r="H134" s="4"/>
      <c r="I134" s="4"/>
    </row>
    <row r="135">
      <c r="A135" s="10" t="s">
        <v>130</v>
      </c>
      <c r="B135" s="10" t="s">
        <v>131</v>
      </c>
      <c r="C135" s="42">
        <f>MIN(C134,ROUNDDOWN(C133/10,0)*10)</f>
        <v>300</v>
      </c>
      <c r="D135" s="10" t="s">
        <v>132</v>
      </c>
      <c r="E135" s="4"/>
      <c r="F135" s="4"/>
      <c r="G135" s="4"/>
      <c r="H135" s="4"/>
      <c r="I135" s="4"/>
    </row>
    <row r="136">
      <c r="A136" s="10" t="s">
        <v>133</v>
      </c>
      <c r="B136" s="10" t="s">
        <v>134</v>
      </c>
      <c r="C136" s="42">
        <f>C120*1000/C135</f>
        <v>376.9911184</v>
      </c>
      <c r="D136" s="10" t="s">
        <v>122</v>
      </c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6" t="s">
        <v>298</v>
      </c>
      <c r="B138" s="4"/>
      <c r="C138" s="4"/>
      <c r="D138" s="4"/>
      <c r="E138" s="4"/>
      <c r="F138" s="4"/>
      <c r="G138" s="4"/>
      <c r="H138" s="4"/>
      <c r="I138" s="4"/>
    </row>
    <row r="139">
      <c r="A139" s="6"/>
      <c r="B139" s="4"/>
      <c r="C139" s="4"/>
      <c r="D139" s="4"/>
      <c r="E139" s="4"/>
      <c r="F139" s="4"/>
      <c r="G139" s="4"/>
      <c r="H139" s="4"/>
      <c r="I139" s="4"/>
    </row>
    <row r="140">
      <c r="A140" s="5" t="s">
        <v>299</v>
      </c>
      <c r="B140" s="4"/>
      <c r="C140" s="4"/>
      <c r="D140" s="4"/>
      <c r="E140" s="4"/>
      <c r="F140" s="4"/>
      <c r="G140" s="4"/>
      <c r="H140" s="4"/>
      <c r="I140" s="4"/>
    </row>
    <row r="141">
      <c r="A141" s="8" t="s">
        <v>354</v>
      </c>
      <c r="B141" s="4"/>
      <c r="C141" s="4"/>
      <c r="D141" s="4"/>
      <c r="E141" s="4"/>
      <c r="F141" s="4"/>
      <c r="G141" s="4"/>
      <c r="H141" s="4"/>
      <c r="I141" s="4"/>
    </row>
    <row r="142">
      <c r="A142" s="8" t="s">
        <v>301</v>
      </c>
      <c r="B142" s="8" t="s">
        <v>143</v>
      </c>
      <c r="C142" s="4">
        <f>(C49*C67)/2.5</f>
        <v>3.564</v>
      </c>
      <c r="D142" s="8" t="s">
        <v>74</v>
      </c>
      <c r="E142" s="4"/>
      <c r="F142" s="4"/>
      <c r="G142" s="4"/>
      <c r="H142" s="4"/>
      <c r="I142" s="4"/>
    </row>
    <row r="143">
      <c r="A143" s="8" t="s">
        <v>144</v>
      </c>
      <c r="B143" s="8" t="s">
        <v>145</v>
      </c>
      <c r="C143" s="4">
        <f>(C142)/C27</f>
        <v>0.01472727273</v>
      </c>
      <c r="D143" s="8" t="s">
        <v>113</v>
      </c>
      <c r="E143" s="4"/>
      <c r="F143" s="4"/>
      <c r="G143" s="4"/>
      <c r="H143" s="4"/>
      <c r="I143" s="4"/>
    </row>
    <row r="144">
      <c r="A144" s="8" t="s">
        <v>146</v>
      </c>
      <c r="B144" s="8" t="s">
        <v>147</v>
      </c>
      <c r="C144" s="4">
        <f>(C95*100)/(1000*C27)</f>
        <v>0.2769448069</v>
      </c>
      <c r="D144" s="8" t="s">
        <v>148</v>
      </c>
      <c r="E144" s="4"/>
      <c r="F144" s="4"/>
      <c r="G144" s="4"/>
      <c r="H144" s="4"/>
      <c r="I144" s="4"/>
    </row>
    <row r="145">
      <c r="A145" s="5" t="s">
        <v>149</v>
      </c>
      <c r="B145" s="4"/>
      <c r="C145" s="4"/>
      <c r="D145" s="4"/>
      <c r="E145" s="4"/>
      <c r="F145" s="4"/>
      <c r="G145" s="4"/>
      <c r="H145" s="4"/>
      <c r="I145" s="4"/>
    </row>
    <row r="146">
      <c r="A146" s="8" t="s">
        <v>150</v>
      </c>
      <c r="B146" s="8" t="s">
        <v>151</v>
      </c>
      <c r="C146" s="4">
        <f>IF(C144&lt;0.15,0.28,IF(C144&lt;0.25,0.36,IF(C144&lt;0.5,0.49,IF(C144&lt;0.75,0.57,IF(C144&lt;1,0.64,IF(C144&lt;1.25,0.71,IF(C144&lt;1.5,0.76,0.82)))))))*SQRT(C11)/SQRT(25)</f>
        <v>0.5367681064</v>
      </c>
      <c r="D146" s="8" t="s">
        <v>113</v>
      </c>
      <c r="E146" s="4"/>
      <c r="F146" s="4"/>
      <c r="G146" s="4"/>
      <c r="H146" s="4"/>
      <c r="I146" s="4"/>
    </row>
    <row r="147">
      <c r="A147" s="8" t="s">
        <v>152</v>
      </c>
      <c r="B147" s="8" t="s">
        <v>153</v>
      </c>
      <c r="C147" s="4">
        <f>0.5*SQRT(C11)</f>
        <v>2.738612788</v>
      </c>
      <c r="D147" s="8" t="s">
        <v>113</v>
      </c>
      <c r="E147" s="4"/>
      <c r="F147" s="4"/>
      <c r="G147" s="4"/>
      <c r="H147" s="4"/>
      <c r="I147" s="4"/>
    </row>
    <row r="148">
      <c r="A148" s="5" t="s">
        <v>302</v>
      </c>
      <c r="B148" s="4"/>
      <c r="C148" s="4"/>
      <c r="D148" s="4"/>
      <c r="E148" s="4"/>
      <c r="F148" s="4"/>
      <c r="G148" s="4"/>
      <c r="H148" s="4"/>
      <c r="I148" s="4"/>
    </row>
    <row r="149">
      <c r="A149" s="8" t="s">
        <v>155</v>
      </c>
      <c r="B149" s="8" t="s">
        <v>15</v>
      </c>
      <c r="C149" s="4" t="str">
        <f>IF(C143&lt;C146,"SAFE","INCREASE THICKNESS")</f>
        <v>SAFE</v>
      </c>
      <c r="D149" s="4"/>
      <c r="E149" s="4"/>
      <c r="F149" s="4"/>
      <c r="G149" s="4"/>
      <c r="H149" s="4"/>
      <c r="I149" s="4"/>
    </row>
    <row r="150">
      <c r="A150" s="8" t="s">
        <v>156</v>
      </c>
      <c r="B150" s="8" t="s">
        <v>157</v>
      </c>
      <c r="C150" s="4">
        <f>C146/C143</f>
        <v>36.4472171</v>
      </c>
      <c r="D150" s="8" t="s">
        <v>15</v>
      </c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6" t="s">
        <v>303</v>
      </c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5" t="s">
        <v>169</v>
      </c>
      <c r="B154" s="4"/>
      <c r="C154" s="4"/>
      <c r="D154" s="4"/>
      <c r="E154" s="4"/>
      <c r="F154" s="4"/>
      <c r="G154" s="4"/>
      <c r="H154" s="4"/>
      <c r="I154" s="4"/>
    </row>
    <row r="155">
      <c r="A155" s="8" t="s">
        <v>170</v>
      </c>
      <c r="B155" s="8" t="s">
        <v>171</v>
      </c>
      <c r="C155" s="8">
        <v>0.2</v>
      </c>
      <c r="D155" s="8" t="s">
        <v>24</v>
      </c>
      <c r="E155" s="4"/>
      <c r="F155" s="4"/>
      <c r="G155" s="4"/>
      <c r="H155" s="4"/>
      <c r="I155" s="4"/>
    </row>
    <row r="156">
      <c r="A156" s="5" t="s">
        <v>355</v>
      </c>
      <c r="B156" s="4"/>
      <c r="C156" s="4"/>
      <c r="D156" s="4"/>
      <c r="E156" s="4"/>
      <c r="F156" s="4"/>
      <c r="G156" s="4"/>
      <c r="H156" s="4"/>
      <c r="I156" s="4"/>
    </row>
    <row r="157">
      <c r="A157" s="8" t="s">
        <v>305</v>
      </c>
      <c r="B157" s="8" t="s">
        <v>15</v>
      </c>
      <c r="C157" s="4" t="str">
        <f>IF(C47&gt;C48,"Inside Face","Outside Face")</f>
        <v>Outside Face</v>
      </c>
      <c r="D157" s="4"/>
      <c r="E157" s="4"/>
      <c r="F157" s="4"/>
      <c r="G157" s="4"/>
      <c r="H157" s="4"/>
      <c r="I157" s="4"/>
    </row>
    <row r="158">
      <c r="A158" s="8" t="s">
        <v>133</v>
      </c>
      <c r="B158" s="8" t="s">
        <v>306</v>
      </c>
      <c r="C158" s="4">
        <f>IF(C47&gt;C48,C95,C107)</f>
        <v>670.2064328</v>
      </c>
      <c r="D158" s="8" t="s">
        <v>122</v>
      </c>
      <c r="E158" s="4"/>
      <c r="F158" s="4"/>
      <c r="G158" s="4"/>
      <c r="H158" s="4"/>
      <c r="I158" s="4"/>
    </row>
    <row r="159">
      <c r="A159" s="8" t="s">
        <v>307</v>
      </c>
      <c r="B159" s="8" t="s">
        <v>308</v>
      </c>
      <c r="C159" s="4">
        <f>IF(C47&gt;C48,C94,C106)</f>
        <v>300</v>
      </c>
      <c r="D159" s="8" t="s">
        <v>24</v>
      </c>
      <c r="E159" s="4"/>
      <c r="F159" s="4"/>
      <c r="G159" s="4"/>
      <c r="H159" s="4"/>
      <c r="I159" s="4"/>
    </row>
    <row r="160">
      <c r="A160" s="8" t="s">
        <v>309</v>
      </c>
      <c r="B160" s="8" t="s">
        <v>23</v>
      </c>
      <c r="C160" s="4">
        <f>IF(C47&gt;C48,C13,C14)</f>
        <v>50</v>
      </c>
      <c r="D160" s="8" t="s">
        <v>24</v>
      </c>
      <c r="E160" s="4"/>
      <c r="F160" s="4"/>
      <c r="G160" s="4"/>
      <c r="H160" s="4"/>
      <c r="I160" s="4"/>
    </row>
    <row r="161">
      <c r="A161" s="8" t="s">
        <v>110</v>
      </c>
      <c r="B161" s="8" t="s">
        <v>39</v>
      </c>
      <c r="C161" s="4">
        <f>IF(C47&gt;C48,C27,C28)</f>
        <v>242</v>
      </c>
      <c r="D161" s="8" t="s">
        <v>24</v>
      </c>
      <c r="E161" s="4"/>
      <c r="F161" s="4"/>
      <c r="G161" s="4"/>
      <c r="H161" s="4"/>
      <c r="I161" s="4"/>
    </row>
    <row r="162">
      <c r="A162" s="8" t="s">
        <v>172</v>
      </c>
      <c r="B162" s="8" t="s">
        <v>162</v>
      </c>
      <c r="C162" s="4">
        <f>0.58*C12*(C90/C158)</f>
        <v>125.6568064</v>
      </c>
      <c r="D162" s="8" t="s">
        <v>113</v>
      </c>
      <c r="E162" s="4"/>
      <c r="F162" s="4"/>
      <c r="G162" s="4"/>
      <c r="H162" s="4"/>
      <c r="I162" s="4"/>
    </row>
    <row r="163">
      <c r="A163" s="8" t="s">
        <v>173</v>
      </c>
      <c r="B163" s="8" t="s">
        <v>174</v>
      </c>
      <c r="C163" s="4">
        <f>SQRT((C159/2)^2+(C160+C18/2)^2)</f>
        <v>160.8228839</v>
      </c>
      <c r="D163" s="8" t="s">
        <v>24</v>
      </c>
      <c r="E163" s="4"/>
      <c r="F163" s="4"/>
      <c r="G163" s="4"/>
      <c r="H163" s="4"/>
      <c r="I163" s="4"/>
    </row>
    <row r="164">
      <c r="A164" s="8" t="s">
        <v>175</v>
      </c>
      <c r="B164" s="8" t="s">
        <v>176</v>
      </c>
      <c r="C164" s="4">
        <f>((3*C162*C163)/(C12*1000))*SQRT((C160+C18/2)/C161)</f>
        <v>0.05935966317</v>
      </c>
      <c r="D164" s="8" t="s">
        <v>24</v>
      </c>
      <c r="E164" s="4"/>
      <c r="F164" s="4"/>
      <c r="G164" s="4"/>
      <c r="H164" s="4"/>
      <c r="I164" s="4"/>
    </row>
    <row r="165">
      <c r="A165" s="5" t="s">
        <v>154</v>
      </c>
      <c r="B165" s="4"/>
      <c r="C165" s="4"/>
      <c r="D165" s="4"/>
      <c r="E165" s="4"/>
      <c r="F165" s="4"/>
      <c r="G165" s="4"/>
      <c r="H165" s="4"/>
      <c r="I165" s="4"/>
    </row>
    <row r="166">
      <c r="A166" s="8" t="s">
        <v>155</v>
      </c>
      <c r="B166" s="8" t="s">
        <v>15</v>
      </c>
      <c r="C166" s="4" t="str">
        <f>IF(C164&lt;C155,"OK","REDUCE SPACING")</f>
        <v>OK</v>
      </c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6" t="s">
        <v>310</v>
      </c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8" t="s">
        <v>311</v>
      </c>
      <c r="B170" s="8" t="s">
        <v>232</v>
      </c>
      <c r="C170" s="12">
        <f>C36</f>
        <v>5.8125</v>
      </c>
      <c r="D170" s="8" t="s">
        <v>74</v>
      </c>
      <c r="E170" s="4"/>
      <c r="F170" s="4"/>
      <c r="G170" s="4"/>
      <c r="H170" s="4"/>
      <c r="I170" s="4"/>
    </row>
    <row r="171">
      <c r="A171" s="8" t="s">
        <v>256</v>
      </c>
      <c r="B171" s="8" t="s">
        <v>257</v>
      </c>
      <c r="C171" s="4">
        <f>(C26/1000)*C7*25</f>
        <v>7.5</v>
      </c>
      <c r="D171" s="8" t="s">
        <v>74</v>
      </c>
      <c r="E171" s="4"/>
      <c r="F171" s="4"/>
      <c r="G171" s="4"/>
      <c r="H171" s="4"/>
      <c r="I171" s="4"/>
    </row>
    <row r="172">
      <c r="A172" s="8" t="s">
        <v>312</v>
      </c>
      <c r="B172" s="8" t="s">
        <v>313</v>
      </c>
      <c r="C172" s="12">
        <f>C170+C171</f>
        <v>13.3125</v>
      </c>
      <c r="D172" s="8" t="s">
        <v>74</v>
      </c>
      <c r="E172" s="4"/>
      <c r="F172" s="4"/>
      <c r="G172" s="4"/>
      <c r="H172" s="4"/>
      <c r="I172" s="4"/>
    </row>
    <row r="173">
      <c r="A173" s="5" t="s">
        <v>356</v>
      </c>
      <c r="B173" s="4"/>
      <c r="C173" s="4"/>
      <c r="D173" s="4"/>
      <c r="E173" s="4"/>
      <c r="F173" s="4"/>
      <c r="G173" s="4"/>
      <c r="H173" s="4"/>
      <c r="I173" s="4"/>
    </row>
    <row r="174">
      <c r="A174" s="8" t="s">
        <v>357</v>
      </c>
      <c r="B174" s="8" t="s">
        <v>358</v>
      </c>
      <c r="C174" s="4">
        <f>C172*C6*2</f>
        <v>26.625</v>
      </c>
      <c r="D174" s="8" t="s">
        <v>65</v>
      </c>
      <c r="E174" s="4"/>
      <c r="F174" s="4"/>
      <c r="G174" s="4"/>
      <c r="H174" s="4"/>
      <c r="I174" s="4"/>
    </row>
    <row r="175">
      <c r="A175" s="8" t="s">
        <v>317</v>
      </c>
      <c r="B175" s="8" t="s">
        <v>359</v>
      </c>
      <c r="C175" s="4">
        <f>C174/(C6*8)</f>
        <v>3.328125</v>
      </c>
      <c r="D175" s="8" t="s">
        <v>27</v>
      </c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20" t="s">
        <v>360</v>
      </c>
      <c r="B177" s="21"/>
      <c r="C177" s="21"/>
      <c r="D177" s="4"/>
      <c r="E177" s="4"/>
      <c r="F177" s="4"/>
      <c r="G177" s="4"/>
      <c r="H177" s="4"/>
      <c r="I177" s="4"/>
    </row>
    <row r="178">
      <c r="A178" s="21"/>
      <c r="B178" s="21"/>
      <c r="C178" s="21"/>
      <c r="D178" s="4"/>
      <c r="E178" s="4"/>
      <c r="F178" s="4"/>
      <c r="G178" s="4"/>
      <c r="H178" s="4"/>
      <c r="I178" s="4"/>
    </row>
    <row r="179">
      <c r="A179" s="23" t="s">
        <v>320</v>
      </c>
      <c r="B179" s="21">
        <f t="shared" ref="B179:B180" si="2">C6</f>
        <v>1</v>
      </c>
      <c r="C179" s="23" t="s">
        <v>11</v>
      </c>
      <c r="D179" s="4"/>
      <c r="E179" s="4"/>
      <c r="F179" s="4"/>
      <c r="G179" s="4"/>
      <c r="H179" s="4"/>
      <c r="I179" s="4"/>
    </row>
    <row r="180">
      <c r="A180" s="23" t="s">
        <v>321</v>
      </c>
      <c r="B180" s="21">
        <f t="shared" si="2"/>
        <v>1</v>
      </c>
      <c r="C180" s="23" t="s">
        <v>11</v>
      </c>
      <c r="D180" s="4"/>
      <c r="E180" s="4"/>
      <c r="F180" s="4"/>
      <c r="G180" s="4"/>
      <c r="H180" s="4"/>
      <c r="I180" s="4"/>
    </row>
    <row r="181">
      <c r="A181" s="23" t="s">
        <v>322</v>
      </c>
      <c r="B181" s="21">
        <f>C26</f>
        <v>300</v>
      </c>
      <c r="C181" s="23" t="s">
        <v>24</v>
      </c>
      <c r="D181" s="4"/>
      <c r="E181" s="4"/>
      <c r="F181" s="4"/>
      <c r="G181" s="4"/>
      <c r="H181" s="4"/>
      <c r="I181" s="4"/>
    </row>
    <row r="182">
      <c r="A182" s="25" t="s">
        <v>323</v>
      </c>
      <c r="B182" s="21" t="str">
        <f>C50</f>
        <v>Tank Empty - Soil Outside</v>
      </c>
      <c r="C182" s="21"/>
      <c r="D182" s="4"/>
      <c r="E182" s="4"/>
      <c r="F182" s="4"/>
      <c r="G182" s="4"/>
      <c r="H182" s="4"/>
      <c r="I182" s="4"/>
    </row>
    <row r="183">
      <c r="A183" s="23" t="s">
        <v>250</v>
      </c>
      <c r="B183" s="21">
        <f>C49</f>
        <v>8.91</v>
      </c>
      <c r="C183" s="23" t="s">
        <v>27</v>
      </c>
      <c r="D183" s="4"/>
      <c r="E183" s="4"/>
      <c r="F183" s="4"/>
      <c r="G183" s="4"/>
      <c r="H183" s="4"/>
      <c r="I183" s="4"/>
    </row>
    <row r="184">
      <c r="A184" s="25" t="s">
        <v>324</v>
      </c>
      <c r="B184" s="21"/>
      <c r="C184" s="21"/>
      <c r="D184" s="4"/>
      <c r="E184" s="4"/>
      <c r="F184" s="4"/>
      <c r="G184" s="4"/>
      <c r="H184" s="4"/>
      <c r="I184" s="4"/>
    </row>
    <row r="185">
      <c r="A185" s="23" t="s">
        <v>325</v>
      </c>
      <c r="B185" s="21" t="str">
        <f>C18&amp;"mm φ @ "&amp;C94&amp;" mm c/c"</f>
        <v>16mm φ @ 300 mm c/c</v>
      </c>
      <c r="C185" s="21"/>
      <c r="D185" s="4"/>
      <c r="E185" s="4"/>
      <c r="F185" s="4"/>
      <c r="G185" s="4"/>
      <c r="H185" s="4"/>
      <c r="I185" s="4"/>
    </row>
    <row r="186">
      <c r="A186" s="23" t="s">
        <v>326</v>
      </c>
      <c r="B186" s="21" t="str">
        <f>C18&amp;"mm φ @ "&amp;C106&amp;" mm c/c"</f>
        <v>16mm φ @ 300 mm c/c</v>
      </c>
      <c r="C186" s="21"/>
      <c r="D186" s="4"/>
      <c r="E186" s="4"/>
      <c r="F186" s="4"/>
      <c r="G186" s="4"/>
      <c r="H186" s="4"/>
      <c r="I186" s="4"/>
    </row>
    <row r="187">
      <c r="A187" s="23" t="s">
        <v>361</v>
      </c>
      <c r="B187" s="21" t="str">
        <f>C19&amp;"mm φ @ "&amp;C123&amp;" mm c/c"</f>
        <v>12mm φ @ 300 mm c/c</v>
      </c>
      <c r="C187" s="21"/>
      <c r="D187" s="4"/>
      <c r="E187" s="4"/>
      <c r="F187" s="4"/>
      <c r="G187" s="4"/>
      <c r="H187" s="4"/>
      <c r="I187" s="4"/>
    </row>
    <row r="188">
      <c r="A188" s="23" t="s">
        <v>362</v>
      </c>
      <c r="B188" s="21" t="str">
        <f>C19&amp;"mm φ @ "&amp;C135&amp;" mm c/c"</f>
        <v>12mm φ @ 300 mm c/c</v>
      </c>
      <c r="C188" s="21"/>
      <c r="D188" s="4"/>
      <c r="E188" s="4"/>
      <c r="F188" s="4"/>
      <c r="G188" s="4"/>
      <c r="H188" s="4"/>
      <c r="I188" s="4"/>
    </row>
    <row r="189">
      <c r="A189" s="25" t="s">
        <v>185</v>
      </c>
      <c r="B189" s="21"/>
      <c r="C189" s="21"/>
      <c r="D189" s="4"/>
      <c r="E189" s="4"/>
      <c r="F189" s="4"/>
      <c r="G189" s="4"/>
      <c r="H189" s="4"/>
      <c r="I189" s="4"/>
    </row>
    <row r="190">
      <c r="A190" s="23" t="s">
        <v>328</v>
      </c>
      <c r="B190" s="21" t="str">
        <f>C60</f>
        <v>OK - Primarily Flexure</v>
      </c>
      <c r="C190" s="21"/>
      <c r="D190" s="4"/>
      <c r="E190" s="4"/>
      <c r="F190" s="4"/>
      <c r="G190" s="4"/>
      <c r="H190" s="4"/>
      <c r="I190" s="4"/>
    </row>
    <row r="191">
      <c r="A191" s="23" t="s">
        <v>186</v>
      </c>
      <c r="B191" s="21" t="str">
        <f>C149</f>
        <v>SAFE</v>
      </c>
      <c r="C191" s="21"/>
      <c r="D191" s="4"/>
      <c r="E191" s="4"/>
      <c r="F191" s="4"/>
      <c r="G191" s="4"/>
      <c r="H191" s="4"/>
      <c r="I191" s="4"/>
    </row>
    <row r="192">
      <c r="A192" s="23" t="s">
        <v>188</v>
      </c>
      <c r="B192" s="21" t="str">
        <f>C166</f>
        <v>OK</v>
      </c>
      <c r="C192" s="21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6" t="s">
        <v>329</v>
      </c>
      <c r="B194" s="4"/>
      <c r="C194" s="4"/>
      <c r="D194" s="4"/>
      <c r="E194" s="4"/>
      <c r="F194" s="4"/>
      <c r="G194" s="4"/>
      <c r="H194" s="4"/>
      <c r="I194" s="4"/>
    </row>
    <row r="195">
      <c r="A195" s="8" t="s">
        <v>330</v>
      </c>
      <c r="B195" s="26">
        <f>C172</f>
        <v>13.3125</v>
      </c>
      <c r="C195" s="8" t="s">
        <v>74</v>
      </c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</sheetData>
  <mergeCells count="2">
    <mergeCell ref="A1:D1"/>
    <mergeCell ref="F58:I5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3" max="3" width="20.38"/>
  </cols>
  <sheetData>
    <row r="1">
      <c r="A1" s="3" t="s">
        <v>363</v>
      </c>
      <c r="E1" s="51"/>
      <c r="F1" s="51"/>
    </row>
    <row r="2">
      <c r="A2" s="51"/>
      <c r="B2" s="51"/>
      <c r="C2" s="51"/>
      <c r="D2" s="51"/>
      <c r="E2" s="51"/>
      <c r="F2" s="51"/>
    </row>
    <row r="3">
      <c r="A3" s="6" t="s">
        <v>332</v>
      </c>
      <c r="B3" s="51"/>
      <c r="C3" s="51"/>
      <c r="D3" s="51"/>
      <c r="E3" s="51"/>
      <c r="F3" s="51"/>
    </row>
    <row r="4">
      <c r="A4" s="10"/>
      <c r="B4" s="42"/>
      <c r="C4" s="42"/>
      <c r="D4" s="42"/>
      <c r="E4" s="51"/>
      <c r="F4" s="51"/>
    </row>
    <row r="5">
      <c r="A5" s="7" t="s">
        <v>5</v>
      </c>
      <c r="B5" s="7" t="s">
        <v>6</v>
      </c>
      <c r="C5" s="7" t="s">
        <v>7</v>
      </c>
      <c r="D5" s="7" t="s">
        <v>8</v>
      </c>
      <c r="E5" s="51"/>
      <c r="F5" s="51"/>
    </row>
    <row r="6">
      <c r="A6" s="10" t="s">
        <v>364</v>
      </c>
      <c r="B6" s="10" t="s">
        <v>10</v>
      </c>
      <c r="C6" s="46">
        <f>Inputs!A2</f>
        <v>1</v>
      </c>
      <c r="D6" s="10" t="s">
        <v>11</v>
      </c>
      <c r="E6" s="51"/>
      <c r="F6" s="51"/>
    </row>
    <row r="7">
      <c r="A7" s="10" t="s">
        <v>365</v>
      </c>
      <c r="B7" s="10" t="s">
        <v>13</v>
      </c>
      <c r="C7" s="46">
        <f>Inputs!B2</f>
        <v>1</v>
      </c>
      <c r="D7" s="10" t="s">
        <v>11</v>
      </c>
      <c r="E7" s="51"/>
      <c r="F7" s="51"/>
    </row>
    <row r="8">
      <c r="A8" s="10" t="s">
        <v>366</v>
      </c>
      <c r="B8" s="10" t="s">
        <v>196</v>
      </c>
      <c r="C8" s="46">
        <f>Inputs!C2</f>
        <v>1</v>
      </c>
      <c r="D8" s="10" t="s">
        <v>11</v>
      </c>
      <c r="E8" s="51"/>
      <c r="F8" s="51"/>
    </row>
    <row r="9">
      <c r="A9" s="10" t="s">
        <v>367</v>
      </c>
      <c r="B9" s="10" t="s">
        <v>198</v>
      </c>
      <c r="C9" s="10">
        <f>C8-0.5</f>
        <v>0.5</v>
      </c>
      <c r="D9" s="10" t="s">
        <v>11</v>
      </c>
      <c r="E9" s="51"/>
      <c r="F9" s="51"/>
    </row>
    <row r="10">
      <c r="A10" s="10" t="s">
        <v>14</v>
      </c>
      <c r="B10" s="10" t="s">
        <v>15</v>
      </c>
      <c r="C10" s="10" t="s">
        <v>16</v>
      </c>
      <c r="D10" s="10" t="s">
        <v>15</v>
      </c>
      <c r="E10" s="51"/>
      <c r="F10" s="51"/>
    </row>
    <row r="11">
      <c r="A11" s="10" t="s">
        <v>17</v>
      </c>
      <c r="B11" s="10" t="s">
        <v>18</v>
      </c>
      <c r="C11" s="52">
        <v>30.0</v>
      </c>
      <c r="D11" s="10" t="s">
        <v>19</v>
      </c>
      <c r="E11" s="51"/>
      <c r="F11" s="51"/>
    </row>
    <row r="12">
      <c r="A12" s="10" t="s">
        <v>20</v>
      </c>
      <c r="B12" s="10" t="s">
        <v>21</v>
      </c>
      <c r="C12" s="52">
        <v>500.0</v>
      </c>
      <c r="D12" s="10" t="s">
        <v>19</v>
      </c>
      <c r="E12" s="51"/>
      <c r="F12" s="51"/>
    </row>
    <row r="13">
      <c r="A13" s="10" t="s">
        <v>22</v>
      </c>
      <c r="B13" s="10" t="s">
        <v>23</v>
      </c>
      <c r="C13" s="52">
        <v>75.0</v>
      </c>
      <c r="D13" s="10" t="s">
        <v>24</v>
      </c>
      <c r="E13" s="51"/>
      <c r="F13" s="51"/>
    </row>
    <row r="14">
      <c r="A14" s="10" t="s">
        <v>368</v>
      </c>
      <c r="B14" s="10" t="s">
        <v>369</v>
      </c>
      <c r="C14" s="52">
        <v>150.0</v>
      </c>
      <c r="D14" s="10" t="s">
        <v>27</v>
      </c>
      <c r="E14" s="51"/>
      <c r="F14" s="51"/>
    </row>
    <row r="15">
      <c r="A15" s="10" t="s">
        <v>30</v>
      </c>
      <c r="B15" s="10" t="s">
        <v>31</v>
      </c>
      <c r="C15" s="47">
        <v>25.0</v>
      </c>
      <c r="D15" s="10" t="s">
        <v>24</v>
      </c>
      <c r="E15" s="51"/>
      <c r="F15" s="51"/>
    </row>
    <row r="16">
      <c r="A16" s="10" t="s">
        <v>32</v>
      </c>
      <c r="B16" s="10" t="s">
        <v>33</v>
      </c>
      <c r="C16" s="52">
        <v>16.0</v>
      </c>
      <c r="D16" s="10" t="s">
        <v>24</v>
      </c>
      <c r="E16" s="51"/>
      <c r="F16" s="51"/>
    </row>
    <row r="17">
      <c r="A17" s="10" t="s">
        <v>370</v>
      </c>
      <c r="B17" s="10" t="s">
        <v>371</v>
      </c>
      <c r="C17" s="52">
        <v>3.0</v>
      </c>
      <c r="D17" s="10" t="s">
        <v>11</v>
      </c>
      <c r="E17" s="51"/>
      <c r="F17" s="51"/>
    </row>
    <row r="18">
      <c r="A18" s="7" t="s">
        <v>372</v>
      </c>
      <c r="B18" s="42"/>
      <c r="C18" s="42"/>
      <c r="D18" s="42"/>
      <c r="E18" s="51"/>
      <c r="F18" s="51"/>
    </row>
    <row r="19">
      <c r="A19" s="10" t="s">
        <v>373</v>
      </c>
      <c r="B19" s="10" t="s">
        <v>73</v>
      </c>
      <c r="C19" s="32">
        <f>'Long Wall'!B178</f>
        <v>13.3125</v>
      </c>
      <c r="D19" s="10" t="s">
        <v>74</v>
      </c>
      <c r="E19" s="51"/>
      <c r="F19" s="51"/>
    </row>
    <row r="20">
      <c r="A20" s="10" t="s">
        <v>374</v>
      </c>
      <c r="B20" s="10" t="s">
        <v>81</v>
      </c>
      <c r="C20" s="32">
        <f>'Short Wall'!B195</f>
        <v>13.3125</v>
      </c>
      <c r="D20" s="10" t="s">
        <v>74</v>
      </c>
      <c r="E20" s="51"/>
      <c r="F20" s="51"/>
    </row>
    <row r="21">
      <c r="A21" s="10" t="s">
        <v>375</v>
      </c>
      <c r="B21" s="10" t="s">
        <v>376</v>
      </c>
      <c r="C21" s="32">
        <f>'Long Wall'!C92</f>
        <v>300</v>
      </c>
      <c r="D21" s="10" t="s">
        <v>24</v>
      </c>
      <c r="E21" s="51"/>
      <c r="F21" s="51"/>
    </row>
    <row r="22">
      <c r="A22" s="10" t="s">
        <v>377</v>
      </c>
      <c r="B22" s="10" t="s">
        <v>378</v>
      </c>
      <c r="C22" s="32">
        <f>'Short Wall'!C135</f>
        <v>300</v>
      </c>
      <c r="D22" s="10" t="s">
        <v>24</v>
      </c>
      <c r="E22" s="51"/>
      <c r="F22" s="51"/>
    </row>
    <row r="23">
      <c r="A23" s="51"/>
      <c r="B23" s="51"/>
      <c r="C23" s="51"/>
      <c r="D23" s="51"/>
      <c r="E23" s="51"/>
      <c r="F23" s="51"/>
    </row>
    <row r="24">
      <c r="A24" s="45" t="s">
        <v>34</v>
      </c>
      <c r="B24" s="42"/>
      <c r="C24" s="42"/>
      <c r="D24" s="42"/>
      <c r="E24" s="51"/>
      <c r="F24" s="51"/>
    </row>
    <row r="25">
      <c r="A25" s="45"/>
      <c r="B25" s="42"/>
      <c r="C25" s="42"/>
      <c r="D25" s="42"/>
      <c r="E25" s="51"/>
      <c r="F25" s="51"/>
    </row>
    <row r="26">
      <c r="A26" s="10" t="s">
        <v>35</v>
      </c>
      <c r="B26" s="10" t="s">
        <v>36</v>
      </c>
      <c r="C26" s="42">
        <f>C7/C6</f>
        <v>1</v>
      </c>
      <c r="D26" s="10" t="s">
        <v>15</v>
      </c>
      <c r="E26" s="51"/>
      <c r="F26" s="51"/>
    </row>
    <row r="27">
      <c r="A27" s="10" t="s">
        <v>37</v>
      </c>
      <c r="B27" s="10" t="s">
        <v>15</v>
      </c>
      <c r="C27" s="52">
        <v>25.0</v>
      </c>
      <c r="D27" s="10" t="s">
        <v>15</v>
      </c>
      <c r="E27" s="51"/>
      <c r="F27" s="51"/>
    </row>
    <row r="28">
      <c r="A28" s="10" t="s">
        <v>38</v>
      </c>
      <c r="B28" s="10" t="s">
        <v>39</v>
      </c>
      <c r="C28" s="10">
        <v>500.0</v>
      </c>
      <c r="D28" s="10" t="s">
        <v>24</v>
      </c>
      <c r="E28" s="51"/>
      <c r="F28" s="51"/>
    </row>
    <row r="29">
      <c r="A29" s="10" t="s">
        <v>40</v>
      </c>
      <c r="B29" s="10" t="s">
        <v>41</v>
      </c>
      <c r="C29" s="42">
        <f>MROUND(ROUNDUP(C28/10,0)*10+75,50)</f>
        <v>600</v>
      </c>
      <c r="D29" s="10" t="s">
        <v>24</v>
      </c>
      <c r="E29" s="51"/>
      <c r="F29" s="51"/>
    </row>
    <row r="30">
      <c r="A30" s="10" t="s">
        <v>42</v>
      </c>
      <c r="B30" s="10" t="s">
        <v>43</v>
      </c>
      <c r="C30" s="42">
        <f>C29-C13-C15/2</f>
        <v>512.5</v>
      </c>
      <c r="D30" s="10" t="s">
        <v>24</v>
      </c>
      <c r="E30" s="51"/>
      <c r="F30" s="51"/>
    </row>
    <row r="31">
      <c r="A31" s="10" t="s">
        <v>44</v>
      </c>
      <c r="B31" s="10" t="s">
        <v>45</v>
      </c>
      <c r="C31" s="42">
        <f>C29-C13-C15-C16/2</f>
        <v>492</v>
      </c>
      <c r="D31" s="10" t="s">
        <v>24</v>
      </c>
      <c r="E31" s="51"/>
      <c r="F31" s="51"/>
    </row>
    <row r="32">
      <c r="A32" s="51"/>
      <c r="B32" s="51"/>
      <c r="C32" s="51"/>
      <c r="D32" s="51"/>
      <c r="E32" s="51"/>
      <c r="F32" s="51"/>
    </row>
    <row r="33">
      <c r="A33" s="51"/>
      <c r="B33" s="51"/>
      <c r="C33" s="51"/>
      <c r="D33" s="51"/>
      <c r="E33" s="51"/>
      <c r="F33" s="51"/>
    </row>
    <row r="34">
      <c r="A34" s="45" t="s">
        <v>46</v>
      </c>
      <c r="B34" s="42"/>
      <c r="C34" s="42"/>
      <c r="D34" s="42"/>
      <c r="E34" s="51"/>
      <c r="F34" s="51"/>
    </row>
    <row r="35">
      <c r="A35" s="42"/>
      <c r="B35" s="42"/>
      <c r="C35" s="42"/>
      <c r="D35" s="42"/>
      <c r="E35" s="51"/>
      <c r="F35" s="51"/>
    </row>
    <row r="36">
      <c r="A36" s="7" t="s">
        <v>379</v>
      </c>
      <c r="B36" s="42"/>
      <c r="C36" s="42"/>
      <c r="D36" s="42"/>
      <c r="E36" s="51"/>
      <c r="F36" s="51"/>
    </row>
    <row r="37">
      <c r="A37" s="10" t="s">
        <v>380</v>
      </c>
      <c r="B37" s="10" t="s">
        <v>381</v>
      </c>
      <c r="C37" s="43">
        <f>(C29/1000)*25</f>
        <v>15</v>
      </c>
      <c r="D37" s="10" t="s">
        <v>27</v>
      </c>
      <c r="E37" s="51"/>
      <c r="F37" s="51"/>
    </row>
    <row r="38">
      <c r="A38" s="10" t="s">
        <v>382</v>
      </c>
      <c r="B38" s="10" t="s">
        <v>383</v>
      </c>
      <c r="C38" s="43">
        <f>C9*10</f>
        <v>5</v>
      </c>
      <c r="D38" s="10" t="s">
        <v>27</v>
      </c>
      <c r="E38" s="51"/>
      <c r="F38" s="51"/>
    </row>
    <row r="39">
      <c r="A39" s="7" t="s">
        <v>384</v>
      </c>
      <c r="B39" s="42"/>
      <c r="C39" s="43"/>
      <c r="D39" s="42"/>
      <c r="E39" s="51"/>
      <c r="F39" s="51"/>
    </row>
    <row r="40">
      <c r="A40" s="10" t="s">
        <v>385</v>
      </c>
      <c r="B40" s="10" t="s">
        <v>316</v>
      </c>
      <c r="C40" s="43">
        <f>C19*C6*2</f>
        <v>26.625</v>
      </c>
      <c r="D40" s="10" t="s">
        <v>65</v>
      </c>
      <c r="E40" s="51"/>
      <c r="F40" s="51"/>
    </row>
    <row r="41">
      <c r="A41" s="10" t="s">
        <v>386</v>
      </c>
      <c r="B41" s="10" t="s">
        <v>387</v>
      </c>
      <c r="C41" s="43">
        <f>C40/(C6*C7)</f>
        <v>26.625</v>
      </c>
      <c r="D41" s="10" t="s">
        <v>27</v>
      </c>
      <c r="E41" s="51"/>
      <c r="F41" s="51"/>
    </row>
    <row r="42">
      <c r="A42" s="10" t="s">
        <v>388</v>
      </c>
      <c r="B42" s="10" t="s">
        <v>358</v>
      </c>
      <c r="C42" s="43">
        <f>C20*C7*2</f>
        <v>26.625</v>
      </c>
      <c r="D42" s="10" t="s">
        <v>65</v>
      </c>
      <c r="E42" s="51"/>
      <c r="F42" s="51"/>
    </row>
    <row r="43">
      <c r="A43" s="10" t="s">
        <v>386</v>
      </c>
      <c r="B43" s="10" t="s">
        <v>389</v>
      </c>
      <c r="C43" s="43">
        <f>C42/(C6*C7)</f>
        <v>26.625</v>
      </c>
      <c r="D43" s="10" t="s">
        <v>27</v>
      </c>
      <c r="E43" s="51"/>
      <c r="F43" s="51"/>
    </row>
    <row r="44">
      <c r="A44" s="10" t="s">
        <v>390</v>
      </c>
      <c r="B44" s="10" t="s">
        <v>391</v>
      </c>
      <c r="C44" s="43">
        <f>C41+C43</f>
        <v>53.25</v>
      </c>
      <c r="D44" s="10" t="s">
        <v>27</v>
      </c>
      <c r="E44" s="51"/>
      <c r="F44" s="51"/>
    </row>
    <row r="45">
      <c r="A45" s="10" t="s">
        <v>392</v>
      </c>
      <c r="B45" s="10" t="s">
        <v>48</v>
      </c>
      <c r="C45" s="43">
        <f>C37+C38+C44</f>
        <v>73.25</v>
      </c>
      <c r="D45" s="10" t="s">
        <v>27</v>
      </c>
      <c r="E45" s="51"/>
      <c r="F45" s="51"/>
    </row>
    <row r="46">
      <c r="A46" s="7" t="s">
        <v>393</v>
      </c>
      <c r="B46" s="42"/>
      <c r="C46" s="43"/>
      <c r="D46" s="42"/>
      <c r="E46" s="51"/>
      <c r="F46" s="51"/>
    </row>
    <row r="47">
      <c r="A47" s="10" t="s">
        <v>394</v>
      </c>
      <c r="B47" s="10" t="s">
        <v>395</v>
      </c>
      <c r="C47" s="43">
        <f>IF(C17&lt;C8,10*(C17-C8),0)</f>
        <v>0</v>
      </c>
      <c r="D47" s="10" t="s">
        <v>27</v>
      </c>
      <c r="E47" s="51"/>
      <c r="F47" s="51"/>
    </row>
    <row r="48">
      <c r="A48" s="10" t="s">
        <v>396</v>
      </c>
      <c r="B48" s="10" t="s">
        <v>397</v>
      </c>
      <c r="C48" s="43">
        <f>C45-C47</f>
        <v>73.25</v>
      </c>
      <c r="D48" s="10" t="s">
        <v>27</v>
      </c>
      <c r="E48" s="51"/>
      <c r="F48" s="51"/>
    </row>
    <row r="49">
      <c r="A49" s="7" t="s">
        <v>398</v>
      </c>
      <c r="B49" s="42"/>
      <c r="C49" s="43"/>
      <c r="D49" s="42"/>
      <c r="E49" s="51"/>
      <c r="F49" s="51"/>
    </row>
    <row r="50">
      <c r="A50" s="10" t="s">
        <v>399</v>
      </c>
      <c r="B50" s="10" t="s">
        <v>400</v>
      </c>
      <c r="C50" s="43">
        <f>C48</f>
        <v>73.25</v>
      </c>
      <c r="D50" s="10" t="s">
        <v>27</v>
      </c>
      <c r="E50" s="51"/>
      <c r="F50" s="51"/>
    </row>
    <row r="51">
      <c r="A51" s="7" t="s">
        <v>401</v>
      </c>
      <c r="B51" s="42"/>
      <c r="C51" s="43"/>
      <c r="D51" s="42"/>
      <c r="E51" s="51"/>
      <c r="F51" s="51"/>
    </row>
    <row r="52">
      <c r="A52" s="10" t="s">
        <v>402</v>
      </c>
      <c r="B52" s="10" t="s">
        <v>403</v>
      </c>
      <c r="C52" s="43">
        <f>C50</f>
        <v>73.25</v>
      </c>
      <c r="D52" s="10" t="s">
        <v>27</v>
      </c>
      <c r="E52" s="51"/>
      <c r="F52" s="51"/>
    </row>
    <row r="53">
      <c r="A53" s="10" t="s">
        <v>404</v>
      </c>
      <c r="B53" s="10" t="s">
        <v>369</v>
      </c>
      <c r="C53" s="43">
        <f>C14</f>
        <v>150</v>
      </c>
      <c r="D53" s="10" t="s">
        <v>27</v>
      </c>
      <c r="E53" s="51"/>
      <c r="F53" s="51"/>
    </row>
    <row r="54">
      <c r="A54" s="10" t="s">
        <v>155</v>
      </c>
      <c r="B54" s="10" t="s">
        <v>15</v>
      </c>
      <c r="C54" s="43" t="str">
        <f>IF(C52&lt;C53,"OK","INCREASE BASE AREA")</f>
        <v>OK</v>
      </c>
      <c r="D54" s="42"/>
      <c r="E54" s="51"/>
      <c r="F54" s="51"/>
    </row>
    <row r="55">
      <c r="A55" s="10" t="s">
        <v>156</v>
      </c>
      <c r="B55" s="10" t="s">
        <v>157</v>
      </c>
      <c r="C55" s="43">
        <f>C53/C52</f>
        <v>2.04778157</v>
      </c>
      <c r="D55" s="10" t="s">
        <v>15</v>
      </c>
      <c r="E55" s="51"/>
      <c r="F55" s="51"/>
    </row>
    <row r="56">
      <c r="A56" s="7" t="s">
        <v>405</v>
      </c>
      <c r="B56" s="42"/>
      <c r="C56" s="43"/>
      <c r="D56" s="42"/>
      <c r="E56" s="51"/>
      <c r="F56" s="51"/>
    </row>
    <row r="57">
      <c r="A57" s="10" t="s">
        <v>406</v>
      </c>
      <c r="B57" s="10" t="s">
        <v>407</v>
      </c>
      <c r="C57" s="31">
        <v>1.5</v>
      </c>
      <c r="D57" s="10" t="s">
        <v>15</v>
      </c>
      <c r="E57" s="51"/>
      <c r="F57" s="51"/>
    </row>
    <row r="58">
      <c r="A58" s="10" t="s">
        <v>408</v>
      </c>
      <c r="B58" s="10" t="s">
        <v>61</v>
      </c>
      <c r="C58" s="43">
        <f>C48*C57</f>
        <v>109.875</v>
      </c>
      <c r="D58" s="10" t="s">
        <v>27</v>
      </c>
      <c r="E58" s="51"/>
      <c r="F58" s="51"/>
    </row>
    <row r="59">
      <c r="A59" s="7" t="s">
        <v>409</v>
      </c>
      <c r="B59" s="42"/>
      <c r="C59" s="43"/>
      <c r="D59" s="42"/>
      <c r="E59" s="51"/>
      <c r="F59" s="51"/>
    </row>
    <row r="60">
      <c r="A60" s="10" t="s">
        <v>410</v>
      </c>
      <c r="B60" s="10" t="s">
        <v>411</v>
      </c>
      <c r="C60" s="43">
        <f>C37+C44</f>
        <v>68.25</v>
      </c>
      <c r="D60" s="10" t="s">
        <v>27</v>
      </c>
      <c r="E60" s="51"/>
      <c r="F60" s="51"/>
    </row>
    <row r="61">
      <c r="A61" s="10" t="s">
        <v>412</v>
      </c>
      <c r="B61" s="10" t="s">
        <v>413</v>
      </c>
      <c r="C61" s="43">
        <f>ABS(C47)</f>
        <v>0</v>
      </c>
      <c r="D61" s="10" t="s">
        <v>27</v>
      </c>
      <c r="E61" s="51"/>
      <c r="F61" s="51"/>
    </row>
    <row r="62">
      <c r="A62" s="10" t="s">
        <v>414</v>
      </c>
      <c r="B62" s="10" t="s">
        <v>415</v>
      </c>
      <c r="C62" s="43" t="str">
        <f>IF(C61&gt;0,C60/C61,"N/A")</f>
        <v>N/A</v>
      </c>
      <c r="D62" s="10" t="s">
        <v>15</v>
      </c>
      <c r="E62" s="51"/>
      <c r="F62" s="51"/>
    </row>
    <row r="63">
      <c r="A63" s="10" t="s">
        <v>155</v>
      </c>
      <c r="B63" s="10" t="s">
        <v>15</v>
      </c>
      <c r="C63" s="43" t="str">
        <f>IF(OR(C61=0,C62&gt;1.2),"SAFE","INCREASE SLAB WEIGHT")</f>
        <v>SAFE</v>
      </c>
      <c r="D63" s="42"/>
      <c r="E63" s="51"/>
      <c r="F63" s="51"/>
    </row>
    <row r="64">
      <c r="A64" s="51"/>
      <c r="B64" s="51"/>
      <c r="C64" s="53"/>
      <c r="D64" s="51"/>
      <c r="E64" s="51"/>
      <c r="F64" s="51"/>
    </row>
    <row r="65">
      <c r="A65" s="6" t="s">
        <v>416</v>
      </c>
      <c r="B65" s="51"/>
      <c r="C65" s="53"/>
      <c r="D65" s="51"/>
      <c r="E65" s="51"/>
      <c r="F65" s="51"/>
    </row>
    <row r="66">
      <c r="A66" s="51"/>
      <c r="B66" s="51"/>
      <c r="C66" s="53"/>
      <c r="D66" s="51"/>
      <c r="E66" s="51"/>
      <c r="F66" s="51"/>
    </row>
    <row r="67">
      <c r="A67" s="10" t="s">
        <v>83</v>
      </c>
      <c r="B67" s="10" t="s">
        <v>84</v>
      </c>
      <c r="C67" s="43">
        <f>C26</f>
        <v>1</v>
      </c>
      <c r="D67" s="10" t="s">
        <v>15</v>
      </c>
      <c r="E67" s="51"/>
      <c r="F67" s="51"/>
    </row>
    <row r="68">
      <c r="A68" s="7" t="s">
        <v>417</v>
      </c>
      <c r="B68" s="42"/>
      <c r="C68" s="43"/>
      <c r="D68" s="42"/>
      <c r="E68" s="51"/>
      <c r="F68" s="51"/>
    </row>
    <row r="69">
      <c r="A69" s="10" t="s">
        <v>418</v>
      </c>
      <c r="B69" s="10" t="s">
        <v>400</v>
      </c>
      <c r="C69" s="43">
        <f>C50*C57</f>
        <v>109.875</v>
      </c>
      <c r="D69" s="10" t="s">
        <v>27</v>
      </c>
      <c r="E69" s="51"/>
      <c r="F69" s="51"/>
    </row>
    <row r="70">
      <c r="A70" s="10" t="s">
        <v>419</v>
      </c>
      <c r="B70" s="10" t="s">
        <v>420</v>
      </c>
      <c r="C70" s="43">
        <f>(C37+C38)*C57</f>
        <v>30</v>
      </c>
      <c r="D70" s="10" t="s">
        <v>27</v>
      </c>
      <c r="E70" s="51"/>
      <c r="F70" s="51"/>
    </row>
    <row r="71">
      <c r="A71" s="10" t="s">
        <v>421</v>
      </c>
      <c r="B71" s="10" t="s">
        <v>422</v>
      </c>
      <c r="C71" s="43">
        <f>C69-C70</f>
        <v>79.875</v>
      </c>
      <c r="D71" s="10" t="s">
        <v>27</v>
      </c>
      <c r="E71" s="51"/>
      <c r="F71" s="51"/>
    </row>
    <row r="72">
      <c r="A72" s="7" t="s">
        <v>85</v>
      </c>
      <c r="B72" s="42"/>
      <c r="C72" s="43"/>
      <c r="D72" s="42"/>
      <c r="E72" s="51"/>
      <c r="F72" s="51"/>
    </row>
    <row r="73">
      <c r="A73" s="10" t="s">
        <v>86</v>
      </c>
      <c r="B73" s="42"/>
      <c r="C73" s="43"/>
      <c r="D73" s="42"/>
      <c r="E73" s="51"/>
      <c r="F73" s="51"/>
    </row>
    <row r="74">
      <c r="A74" s="10" t="s">
        <v>87</v>
      </c>
      <c r="B74" s="10" t="s">
        <v>88</v>
      </c>
      <c r="C74" s="44">
        <f>IF(C67&lt;=0.5,0.032,IF(C67&lt;=0.55,0.037,IF(C67&lt;=0.6,0.043,IF(C67&lt;=0.65,0.049,IF(C67&lt;=0.7,0.055,IF(C67&lt;=0.75,0.061,IF(C67&lt;=0.8,0.068,IF(C67&lt;=0.85,0.074,IF(C67&lt;=0.9,0.081,IF(C67&lt;=0.95,0.087,0.093))))))))))</f>
        <v>0.093</v>
      </c>
      <c r="D74" s="10" t="s">
        <v>15</v>
      </c>
      <c r="E74" s="51"/>
      <c r="F74" s="51"/>
    </row>
    <row r="75">
      <c r="A75" s="10" t="s">
        <v>89</v>
      </c>
      <c r="B75" s="10" t="s">
        <v>90</v>
      </c>
      <c r="C75" s="44">
        <f>IF(C67&lt;=0.5,0.024,IF(C67&lt;=0.55,0.028,IF(C67&lt;=0.6,0.032,IF(C67&lt;=0.65,0.036,IF(C67&lt;=0.7,0.041,IF(C67&lt;=0.75,0.045,IF(C67&lt;=0.8,0.05,IF(C67&lt;=0.85,0.055,IF(C67&lt;=0.9,0.06,IF(C67&lt;=0.95,0.065,0.069))))))))))</f>
        <v>0.069</v>
      </c>
      <c r="D75" s="10" t="s">
        <v>15</v>
      </c>
      <c r="E75" s="51"/>
      <c r="F75" s="51"/>
    </row>
    <row r="76">
      <c r="A76" s="10" t="s">
        <v>91</v>
      </c>
      <c r="B76" s="10" t="s">
        <v>92</v>
      </c>
      <c r="C76" s="44">
        <f>IF(C67&lt;=0.5,0.032,IF(C67&lt;=0.55,0.035,IF(C67&lt;=0.6,0.037,IF(C67&lt;=0.65,0.04,IF(C67&lt;=0.7,0.043,IF(C67&lt;=0.75,0.045,IF(C67&lt;=0.8,0.048,IF(C67&lt;=0.85,0.051,IF(C67&lt;=0.9,0.053,IF(C67&lt;=0.95,0.056,0.058))))))))))</f>
        <v>0.058</v>
      </c>
      <c r="D76" s="10" t="s">
        <v>15</v>
      </c>
      <c r="E76" s="51"/>
      <c r="F76" s="51"/>
    </row>
    <row r="77">
      <c r="A77" s="10" t="s">
        <v>93</v>
      </c>
      <c r="B77" s="10" t="s">
        <v>94</v>
      </c>
      <c r="C77" s="44">
        <f>IF(C67&lt;=0.5,0.024,IF(C67&lt;=0.55,0.026,IF(C67&lt;=0.6,0.028,IF(C67&lt;=0.65,0.03,IF(C67&lt;=0.7,0.032,IF(C67&lt;=0.75,0.034,IF(C67&lt;=0.8,0.035,IF(C67&lt;=0.85,0.037,IF(C67&lt;=0.9,0.039,IF(C67&lt;=0.95,0.041,0.042))))))))))</f>
        <v>0.042</v>
      </c>
      <c r="D77" s="10" t="s">
        <v>15</v>
      </c>
      <c r="E77" s="51"/>
      <c r="F77" s="51"/>
    </row>
    <row r="78">
      <c r="A78" s="7" t="s">
        <v>423</v>
      </c>
      <c r="B78" s="42"/>
      <c r="C78" s="43"/>
      <c r="D78" s="42"/>
      <c r="E78" s="51"/>
      <c r="F78" s="51"/>
    </row>
    <row r="79">
      <c r="A79" s="10" t="s">
        <v>424</v>
      </c>
      <c r="B79" s="10" t="s">
        <v>425</v>
      </c>
      <c r="C79" s="43">
        <f>C74*C71*C7^2</f>
        <v>7.428375</v>
      </c>
      <c r="D79" s="10" t="s">
        <v>98</v>
      </c>
      <c r="E79" s="51"/>
      <c r="F79" s="51"/>
    </row>
    <row r="80">
      <c r="A80" s="10" t="s">
        <v>426</v>
      </c>
      <c r="B80" s="10" t="s">
        <v>427</v>
      </c>
      <c r="C80" s="43">
        <f>C75*C71*C7^2</f>
        <v>5.511375</v>
      </c>
      <c r="D80" s="10" t="s">
        <v>98</v>
      </c>
      <c r="E80" s="51"/>
      <c r="F80" s="51"/>
    </row>
    <row r="81">
      <c r="A81" s="10" t="s">
        <v>428</v>
      </c>
      <c r="B81" s="10" t="s">
        <v>429</v>
      </c>
      <c r="C81" s="43">
        <f>C76*C71*C7^2</f>
        <v>4.63275</v>
      </c>
      <c r="D81" s="10" t="s">
        <v>98</v>
      </c>
      <c r="E81" s="51"/>
      <c r="F81" s="51"/>
    </row>
    <row r="82">
      <c r="A82" s="10" t="s">
        <v>430</v>
      </c>
      <c r="B82" s="10" t="s">
        <v>431</v>
      </c>
      <c r="C82" s="43">
        <f>C77*C71*C7^2</f>
        <v>3.35475</v>
      </c>
      <c r="D82" s="10" t="s">
        <v>98</v>
      </c>
      <c r="E82" s="51"/>
      <c r="F82" s="51"/>
    </row>
    <row r="83">
      <c r="A83" s="7" t="s">
        <v>432</v>
      </c>
      <c r="B83" s="42"/>
      <c r="C83" s="43"/>
      <c r="D83" s="42"/>
      <c r="E83" s="51"/>
      <c r="F83" s="51"/>
    </row>
    <row r="84">
      <c r="A84" s="7" t="s">
        <v>433</v>
      </c>
      <c r="B84" s="42"/>
      <c r="C84" s="43"/>
      <c r="D84" s="42"/>
      <c r="E84" s="51"/>
      <c r="F84" s="51"/>
    </row>
    <row r="85">
      <c r="A85" s="10" t="s">
        <v>434</v>
      </c>
      <c r="B85" s="10" t="s">
        <v>435</v>
      </c>
      <c r="C85" s="43">
        <f>C19</f>
        <v>13.3125</v>
      </c>
      <c r="D85" s="10" t="s">
        <v>74</v>
      </c>
      <c r="E85" s="51"/>
      <c r="F85" s="51"/>
    </row>
    <row r="86">
      <c r="A86" s="10" t="s">
        <v>436</v>
      </c>
      <c r="B86" s="10" t="s">
        <v>437</v>
      </c>
      <c r="C86" s="43">
        <f>C7-(C22/1000)</f>
        <v>0.7</v>
      </c>
      <c r="D86" s="10" t="s">
        <v>11</v>
      </c>
      <c r="E86" s="51"/>
      <c r="F86" s="51"/>
    </row>
    <row r="87">
      <c r="A87" s="10" t="s">
        <v>438</v>
      </c>
      <c r="B87" s="42"/>
      <c r="C87" s="43"/>
      <c r="D87" s="42"/>
      <c r="E87" s="51"/>
      <c r="F87" s="51"/>
    </row>
    <row r="88">
      <c r="A88" s="10" t="s">
        <v>439</v>
      </c>
      <c r="B88" s="10" t="s">
        <v>440</v>
      </c>
      <c r="C88" s="43">
        <f>(C85*C86^2)/12</f>
        <v>0.54359375</v>
      </c>
      <c r="D88" s="10" t="s">
        <v>98</v>
      </c>
      <c r="E88" s="51"/>
      <c r="F88" s="51"/>
    </row>
    <row r="89">
      <c r="A89" s="7" t="s">
        <v>441</v>
      </c>
      <c r="B89" s="42"/>
      <c r="C89" s="43"/>
      <c r="D89" s="42"/>
      <c r="E89" s="51"/>
      <c r="F89" s="51"/>
    </row>
    <row r="90">
      <c r="A90" s="10" t="s">
        <v>442</v>
      </c>
      <c r="B90" s="10" t="s">
        <v>443</v>
      </c>
      <c r="C90" s="43">
        <f>C20</f>
        <v>13.3125</v>
      </c>
      <c r="D90" s="10" t="s">
        <v>74</v>
      </c>
      <c r="E90" s="51"/>
      <c r="F90" s="51"/>
    </row>
    <row r="91">
      <c r="A91" s="10" t="s">
        <v>444</v>
      </c>
      <c r="B91" s="10" t="s">
        <v>445</v>
      </c>
      <c r="C91" s="43">
        <f>C6-(C21/1000)</f>
        <v>0.7</v>
      </c>
      <c r="D91" s="10" t="s">
        <v>11</v>
      </c>
      <c r="E91" s="51"/>
      <c r="F91" s="51"/>
    </row>
    <row r="92">
      <c r="A92" s="10" t="s">
        <v>438</v>
      </c>
      <c r="B92" s="42"/>
      <c r="C92" s="43"/>
      <c r="D92" s="42"/>
      <c r="E92" s="51"/>
      <c r="F92" s="51"/>
    </row>
    <row r="93">
      <c r="A93" s="10" t="s">
        <v>439</v>
      </c>
      <c r="B93" s="10" t="s">
        <v>446</v>
      </c>
      <c r="C93" s="43">
        <f>(C90*C91^2)/12</f>
        <v>0.54359375</v>
      </c>
      <c r="D93" s="10" t="s">
        <v>98</v>
      </c>
      <c r="E93" s="51"/>
      <c r="F93" s="51"/>
    </row>
    <row r="94">
      <c r="A94" s="7" t="s">
        <v>447</v>
      </c>
      <c r="B94" s="42"/>
      <c r="C94" s="43"/>
      <c r="D94" s="42"/>
      <c r="E94" s="51"/>
      <c r="F94" s="51"/>
    </row>
    <row r="95">
      <c r="A95" s="7" t="s">
        <v>448</v>
      </c>
      <c r="B95" s="42"/>
      <c r="C95" s="43"/>
      <c r="D95" s="42"/>
      <c r="E95" s="51"/>
      <c r="F95" s="51"/>
    </row>
    <row r="96">
      <c r="A96" s="10" t="s">
        <v>449</v>
      </c>
      <c r="B96" s="10" t="s">
        <v>450</v>
      </c>
      <c r="C96" s="43">
        <f>ABS(C79)+C88</f>
        <v>7.97196875</v>
      </c>
      <c r="D96" s="10" t="s">
        <v>98</v>
      </c>
      <c r="E96" s="51"/>
      <c r="F96" s="51"/>
    </row>
    <row r="97">
      <c r="A97" s="10" t="s">
        <v>451</v>
      </c>
      <c r="B97" s="10" t="s">
        <v>452</v>
      </c>
      <c r="C97" s="43">
        <f>C80+C88</f>
        <v>6.05496875</v>
      </c>
      <c r="D97" s="10" t="s">
        <v>98</v>
      </c>
      <c r="E97" s="51"/>
      <c r="F97" s="51"/>
    </row>
    <row r="98">
      <c r="A98" s="10" t="s">
        <v>453</v>
      </c>
      <c r="B98" s="10" t="s">
        <v>454</v>
      </c>
      <c r="C98" s="43">
        <f>MAX(C96,C97)</f>
        <v>7.97196875</v>
      </c>
      <c r="D98" s="10" t="s">
        <v>98</v>
      </c>
      <c r="E98" s="51"/>
      <c r="F98" s="51"/>
    </row>
    <row r="99">
      <c r="A99" s="7" t="s">
        <v>455</v>
      </c>
      <c r="B99" s="42"/>
      <c r="C99" s="43"/>
      <c r="D99" s="42"/>
      <c r="E99" s="51"/>
      <c r="F99" s="51"/>
    </row>
    <row r="100">
      <c r="A100" s="10" t="s">
        <v>449</v>
      </c>
      <c r="B100" s="10" t="s">
        <v>456</v>
      </c>
      <c r="C100" s="43">
        <f>ABS(C81)+C93</f>
        <v>5.17634375</v>
      </c>
      <c r="D100" s="10" t="s">
        <v>98</v>
      </c>
      <c r="E100" s="51"/>
      <c r="F100" s="51"/>
    </row>
    <row r="101">
      <c r="A101" s="10" t="s">
        <v>451</v>
      </c>
      <c r="B101" s="10" t="s">
        <v>457</v>
      </c>
      <c r="C101" s="43">
        <f>C82+C93</f>
        <v>3.89834375</v>
      </c>
      <c r="D101" s="10" t="s">
        <v>98</v>
      </c>
      <c r="E101" s="51"/>
      <c r="F101" s="51"/>
    </row>
    <row r="102">
      <c r="A102" s="10" t="s">
        <v>458</v>
      </c>
      <c r="B102" s="10" t="s">
        <v>459</v>
      </c>
      <c r="C102" s="43">
        <f>MAX(C100,C101)</f>
        <v>5.17634375</v>
      </c>
      <c r="D102" s="10" t="s">
        <v>98</v>
      </c>
      <c r="E102" s="51"/>
      <c r="F102" s="51"/>
    </row>
    <row r="103">
      <c r="A103" s="54"/>
      <c r="B103" s="54"/>
      <c r="C103" s="43"/>
      <c r="D103" s="54"/>
      <c r="E103" s="51"/>
      <c r="F103" s="51"/>
    </row>
    <row r="104">
      <c r="A104" s="45" t="s">
        <v>460</v>
      </c>
      <c r="B104" s="10"/>
      <c r="C104" s="43"/>
      <c r="D104" s="10"/>
      <c r="E104" s="51"/>
      <c r="F104" s="51"/>
    </row>
    <row r="105">
      <c r="A105" s="10"/>
      <c r="B105" s="10"/>
      <c r="C105" s="43"/>
      <c r="D105" s="10"/>
      <c r="E105" s="51"/>
      <c r="F105" s="51"/>
    </row>
    <row r="106">
      <c r="A106" s="7" t="s">
        <v>461</v>
      </c>
      <c r="B106" s="42"/>
      <c r="C106" s="43"/>
      <c r="D106" s="42"/>
      <c r="E106" s="51"/>
      <c r="F106" s="51"/>
    </row>
    <row r="107">
      <c r="A107" s="10" t="s">
        <v>107</v>
      </c>
      <c r="B107" s="10" t="s">
        <v>108</v>
      </c>
      <c r="C107" s="43">
        <f>C98*100000</f>
        <v>797196.875</v>
      </c>
      <c r="D107" s="10" t="s">
        <v>109</v>
      </c>
      <c r="E107" s="51"/>
      <c r="F107" s="51"/>
    </row>
    <row r="108">
      <c r="A108" s="10" t="s">
        <v>110</v>
      </c>
      <c r="B108" s="10" t="s">
        <v>39</v>
      </c>
      <c r="C108" s="43">
        <f>C30</f>
        <v>512.5</v>
      </c>
      <c r="D108" s="10" t="s">
        <v>24</v>
      </c>
      <c r="E108" s="51"/>
      <c r="F108" s="51"/>
    </row>
    <row r="109">
      <c r="A109" s="10" t="s">
        <v>111</v>
      </c>
      <c r="B109" s="10" t="s">
        <v>112</v>
      </c>
      <c r="C109" s="43">
        <f>C107/(1000*C108^2)</f>
        <v>0.003035133849</v>
      </c>
      <c r="D109" s="10" t="s">
        <v>113</v>
      </c>
      <c r="E109" s="51"/>
      <c r="F109" s="51"/>
    </row>
    <row r="110">
      <c r="A110" s="10" t="s">
        <v>114</v>
      </c>
      <c r="B110" s="10" t="s">
        <v>115</v>
      </c>
      <c r="C110" s="43">
        <f>(0.5*C11/C12)*(1-SQRT(1-(4.6*C109/C11)))</f>
        <v>0.000006981620236</v>
      </c>
      <c r="D110" s="10" t="s">
        <v>15</v>
      </c>
      <c r="E110" s="51"/>
      <c r="F110" s="51"/>
    </row>
    <row r="111">
      <c r="A111" s="10" t="s">
        <v>116</v>
      </c>
      <c r="B111" s="10" t="s">
        <v>117</v>
      </c>
      <c r="C111" s="32">
        <v>0.0012</v>
      </c>
      <c r="D111" s="10" t="s">
        <v>15</v>
      </c>
      <c r="E111" s="51"/>
      <c r="F111" s="51"/>
    </row>
    <row r="112">
      <c r="A112" s="10" t="s">
        <v>118</v>
      </c>
      <c r="B112" s="10" t="s">
        <v>119</v>
      </c>
      <c r="C112" s="43">
        <f>MAX(C110,C111)</f>
        <v>0.0012</v>
      </c>
      <c r="D112" s="10" t="s">
        <v>15</v>
      </c>
      <c r="E112" s="51"/>
      <c r="F112" s="51"/>
    </row>
    <row r="113">
      <c r="A113" s="10" t="s">
        <v>120</v>
      </c>
      <c r="B113" s="10" t="s">
        <v>121</v>
      </c>
      <c r="C113" s="43">
        <f>C112*1000*C108</f>
        <v>615</v>
      </c>
      <c r="D113" s="10" t="s">
        <v>122</v>
      </c>
      <c r="E113" s="51"/>
      <c r="F113" s="51"/>
    </row>
    <row r="114">
      <c r="A114" s="10" t="s">
        <v>123</v>
      </c>
      <c r="B114" s="10" t="s">
        <v>124</v>
      </c>
      <c r="C114" s="43">
        <f>PI()*C15^2/4</f>
        <v>490.8738521</v>
      </c>
      <c r="D114" s="10" t="s">
        <v>125</v>
      </c>
      <c r="E114" s="51"/>
      <c r="F114" s="51"/>
    </row>
    <row r="115">
      <c r="A115" s="10" t="s">
        <v>126</v>
      </c>
      <c r="B115" s="10" t="s">
        <v>127</v>
      </c>
      <c r="C115" s="43">
        <f>C114*1000/C113</f>
        <v>798.1688652</v>
      </c>
      <c r="D115" s="10" t="s">
        <v>24</v>
      </c>
      <c r="E115" s="51"/>
      <c r="F115" s="51"/>
    </row>
    <row r="116">
      <c r="A116" s="10" t="s">
        <v>128</v>
      </c>
      <c r="B116" s="10" t="s">
        <v>129</v>
      </c>
      <c r="C116" s="43">
        <f>MIN(3*C108,300)</f>
        <v>300</v>
      </c>
      <c r="D116" s="10" t="s">
        <v>24</v>
      </c>
      <c r="E116" s="51"/>
      <c r="F116" s="51"/>
    </row>
    <row r="117">
      <c r="A117" s="10" t="s">
        <v>130</v>
      </c>
      <c r="B117" s="10" t="s">
        <v>131</v>
      </c>
      <c r="C117" s="43">
        <f>MIN(C116,ROUNDDOWN(C115/10,0)*10)</f>
        <v>300</v>
      </c>
      <c r="D117" s="10" t="s">
        <v>132</v>
      </c>
      <c r="E117" s="51"/>
      <c r="F117" s="51"/>
    </row>
    <row r="118">
      <c r="A118" s="10" t="s">
        <v>133</v>
      </c>
      <c r="B118" s="10" t="s">
        <v>134</v>
      </c>
      <c r="C118" s="43">
        <f>C114*1000/C117</f>
        <v>1636.246174</v>
      </c>
      <c r="D118" s="10" t="s">
        <v>122</v>
      </c>
      <c r="E118" s="51"/>
      <c r="F118" s="51"/>
    </row>
    <row r="119">
      <c r="A119" s="7" t="s">
        <v>462</v>
      </c>
      <c r="B119" s="42"/>
      <c r="C119" s="43"/>
      <c r="D119" s="42"/>
      <c r="E119" s="51"/>
      <c r="F119" s="51"/>
    </row>
    <row r="120">
      <c r="A120" s="10" t="s">
        <v>294</v>
      </c>
      <c r="B120" s="10" t="s">
        <v>295</v>
      </c>
      <c r="C120" s="43">
        <f>C111*1000*C108</f>
        <v>615</v>
      </c>
      <c r="D120" s="10" t="s">
        <v>122</v>
      </c>
      <c r="E120" s="51"/>
      <c r="F120" s="51"/>
    </row>
    <row r="121">
      <c r="A121" s="10" t="s">
        <v>126</v>
      </c>
      <c r="B121" s="10" t="s">
        <v>127</v>
      </c>
      <c r="C121" s="43">
        <f>C114*1000/C120</f>
        <v>798.1688652</v>
      </c>
      <c r="D121" s="10" t="s">
        <v>24</v>
      </c>
      <c r="E121" s="51"/>
      <c r="F121" s="51"/>
    </row>
    <row r="122">
      <c r="A122" s="10" t="s">
        <v>130</v>
      </c>
      <c r="B122" s="10" t="s">
        <v>131</v>
      </c>
      <c r="C122" s="43">
        <f>MIN(C116,ROUNDDOWN(C121/10,0)*10)</f>
        <v>300</v>
      </c>
      <c r="D122" s="10" t="s">
        <v>132</v>
      </c>
      <c r="E122" s="51"/>
      <c r="F122" s="51"/>
    </row>
    <row r="123">
      <c r="A123" s="10" t="s">
        <v>133</v>
      </c>
      <c r="B123" s="10" t="s">
        <v>134</v>
      </c>
      <c r="C123" s="43">
        <f>C114*1000/C122</f>
        <v>1636.246174</v>
      </c>
      <c r="D123" s="10" t="s">
        <v>122</v>
      </c>
      <c r="E123" s="51"/>
      <c r="F123" s="51"/>
    </row>
    <row r="124">
      <c r="A124" s="7"/>
      <c r="B124" s="42"/>
      <c r="C124" s="43"/>
      <c r="D124" s="42"/>
      <c r="E124" s="51"/>
      <c r="F124" s="51"/>
    </row>
    <row r="125">
      <c r="A125" s="7" t="s">
        <v>136</v>
      </c>
      <c r="B125" s="42"/>
      <c r="C125" s="43"/>
      <c r="D125" s="42"/>
      <c r="E125" s="51"/>
      <c r="F125" s="51"/>
    </row>
    <row r="126">
      <c r="A126" s="10" t="s">
        <v>463</v>
      </c>
      <c r="B126" s="10" t="s">
        <v>15</v>
      </c>
      <c r="C126" s="43" t="str">
        <f>C15&amp;"mm φ @ "&amp;C117&amp;" mm c/c"</f>
        <v>25mm φ @ 300 mm c/c</v>
      </c>
      <c r="D126" s="42"/>
      <c r="E126" s="51"/>
      <c r="F126" s="51"/>
    </row>
    <row r="127">
      <c r="A127" s="10" t="s">
        <v>464</v>
      </c>
      <c r="B127" s="10" t="s">
        <v>15</v>
      </c>
      <c r="C127" s="43" t="str">
        <f>C15&amp;"mm φ @ "&amp;C122&amp;" mm c/c"</f>
        <v>25mm φ @ 300 mm c/c</v>
      </c>
      <c r="D127" s="42"/>
      <c r="E127" s="51"/>
      <c r="F127" s="51"/>
    </row>
    <row r="128">
      <c r="A128" s="51"/>
      <c r="B128" s="51"/>
      <c r="C128" s="53"/>
      <c r="D128" s="51"/>
      <c r="E128" s="51"/>
      <c r="F128" s="51"/>
    </row>
    <row r="129">
      <c r="A129" s="45" t="s">
        <v>465</v>
      </c>
      <c r="B129" s="42"/>
      <c r="C129" s="43"/>
      <c r="D129" s="42"/>
      <c r="E129" s="51"/>
      <c r="F129" s="51"/>
    </row>
    <row r="130">
      <c r="A130" s="42"/>
      <c r="B130" s="42"/>
      <c r="C130" s="43"/>
      <c r="D130" s="42"/>
      <c r="E130" s="51"/>
      <c r="F130" s="51"/>
    </row>
    <row r="131">
      <c r="A131" s="7" t="s">
        <v>461</v>
      </c>
      <c r="B131" s="42"/>
      <c r="C131" s="43"/>
      <c r="D131" s="42"/>
      <c r="E131" s="51"/>
      <c r="F131" s="51"/>
    </row>
    <row r="132">
      <c r="A132" s="10" t="s">
        <v>107</v>
      </c>
      <c r="B132" s="10" t="s">
        <v>108</v>
      </c>
      <c r="C132" s="43">
        <f>C102*100000</f>
        <v>517634.375</v>
      </c>
      <c r="D132" s="10" t="s">
        <v>109</v>
      </c>
      <c r="E132" s="51"/>
      <c r="F132" s="51"/>
    </row>
    <row r="133">
      <c r="A133" s="10" t="s">
        <v>110</v>
      </c>
      <c r="B133" s="10" t="s">
        <v>39</v>
      </c>
      <c r="C133" s="43">
        <f>C31</f>
        <v>492</v>
      </c>
      <c r="D133" s="10" t="s">
        <v>24</v>
      </c>
      <c r="E133" s="51"/>
      <c r="F133" s="51"/>
    </row>
    <row r="134">
      <c r="A134" s="10" t="s">
        <v>111</v>
      </c>
      <c r="B134" s="10" t="s">
        <v>112</v>
      </c>
      <c r="C134" s="43">
        <f>C132/(1000*C133^2)</f>
        <v>0.002138419488</v>
      </c>
      <c r="D134" s="10" t="s">
        <v>113</v>
      </c>
      <c r="E134" s="51"/>
      <c r="F134" s="51"/>
    </row>
    <row r="135">
      <c r="A135" s="10" t="s">
        <v>114</v>
      </c>
      <c r="B135" s="10" t="s">
        <v>115</v>
      </c>
      <c r="C135" s="43">
        <f>(0.5*C11/C12)*(1-SQRT(1-(4.6*C134/C11)))</f>
        <v>0.000004918768061</v>
      </c>
      <c r="D135" s="10" t="s">
        <v>15</v>
      </c>
      <c r="E135" s="51"/>
      <c r="F135" s="51"/>
    </row>
    <row r="136">
      <c r="A136" s="10" t="s">
        <v>116</v>
      </c>
      <c r="B136" s="10" t="s">
        <v>117</v>
      </c>
      <c r="C136" s="32">
        <v>0.0012</v>
      </c>
      <c r="D136" s="10" t="s">
        <v>15</v>
      </c>
      <c r="E136" s="51"/>
      <c r="F136" s="51"/>
    </row>
    <row r="137">
      <c r="A137" s="10" t="s">
        <v>118</v>
      </c>
      <c r="B137" s="10" t="s">
        <v>119</v>
      </c>
      <c r="C137" s="43">
        <f>MAX(C135,C136)</f>
        <v>0.0012</v>
      </c>
      <c r="D137" s="10" t="s">
        <v>15</v>
      </c>
      <c r="E137" s="51"/>
      <c r="F137" s="51"/>
    </row>
    <row r="138">
      <c r="A138" s="10" t="s">
        <v>120</v>
      </c>
      <c r="B138" s="10" t="s">
        <v>121</v>
      </c>
      <c r="C138" s="43">
        <f>C137*1000*C133</f>
        <v>590.4</v>
      </c>
      <c r="D138" s="10" t="s">
        <v>122</v>
      </c>
      <c r="E138" s="51"/>
      <c r="F138" s="51"/>
    </row>
    <row r="139">
      <c r="A139" s="10" t="s">
        <v>123</v>
      </c>
      <c r="B139" s="10" t="s">
        <v>124</v>
      </c>
      <c r="C139" s="43">
        <f>PI()*C16^2/4</f>
        <v>201.0619298</v>
      </c>
      <c r="D139" s="10" t="s">
        <v>125</v>
      </c>
      <c r="E139" s="51"/>
      <c r="F139" s="51"/>
    </row>
    <row r="140">
      <c r="A140" s="10" t="s">
        <v>126</v>
      </c>
      <c r="B140" s="10" t="s">
        <v>127</v>
      </c>
      <c r="C140" s="43">
        <f>C139*1000/C138</f>
        <v>340.5520492</v>
      </c>
      <c r="D140" s="10" t="s">
        <v>24</v>
      </c>
      <c r="E140" s="51"/>
      <c r="F140" s="51"/>
    </row>
    <row r="141">
      <c r="A141" s="10" t="s">
        <v>128</v>
      </c>
      <c r="B141" s="10" t="s">
        <v>129</v>
      </c>
      <c r="C141" s="43">
        <f>MIN(3*C133,300)</f>
        <v>300</v>
      </c>
      <c r="D141" s="10" t="s">
        <v>24</v>
      </c>
      <c r="E141" s="51"/>
      <c r="F141" s="51"/>
    </row>
    <row r="142">
      <c r="A142" s="10" t="s">
        <v>130</v>
      </c>
      <c r="B142" s="10" t="s">
        <v>131</v>
      </c>
      <c r="C142" s="43">
        <f>MIN(C141,ROUNDDOWN(C140/10,0)*10)</f>
        <v>300</v>
      </c>
      <c r="D142" s="10" t="s">
        <v>132</v>
      </c>
      <c r="E142" s="51"/>
      <c r="F142" s="51"/>
    </row>
    <row r="143">
      <c r="A143" s="10" t="s">
        <v>133</v>
      </c>
      <c r="B143" s="10" t="s">
        <v>134</v>
      </c>
      <c r="C143" s="43">
        <f>C139*1000/C142</f>
        <v>670.2064328</v>
      </c>
      <c r="D143" s="10" t="s">
        <v>122</v>
      </c>
      <c r="E143" s="51"/>
      <c r="F143" s="51"/>
    </row>
    <row r="144">
      <c r="A144" s="7" t="s">
        <v>466</v>
      </c>
      <c r="B144" s="42"/>
      <c r="C144" s="43"/>
      <c r="D144" s="42"/>
      <c r="E144" s="51"/>
      <c r="F144" s="51"/>
    </row>
    <row r="145">
      <c r="A145" s="10" t="s">
        <v>294</v>
      </c>
      <c r="B145" s="10" t="s">
        <v>295</v>
      </c>
      <c r="C145" s="43">
        <f>C136*1000*C133</f>
        <v>590.4</v>
      </c>
      <c r="D145" s="10" t="s">
        <v>122</v>
      </c>
      <c r="E145" s="51"/>
      <c r="F145" s="51"/>
    </row>
    <row r="146">
      <c r="A146" s="10" t="s">
        <v>126</v>
      </c>
      <c r="B146" s="10" t="s">
        <v>127</v>
      </c>
      <c r="C146" s="43">
        <f>C139*1000/C145</f>
        <v>340.5520492</v>
      </c>
      <c r="D146" s="10" t="s">
        <v>24</v>
      </c>
      <c r="E146" s="51"/>
      <c r="F146" s="51"/>
    </row>
    <row r="147">
      <c r="A147" s="10" t="s">
        <v>130</v>
      </c>
      <c r="B147" s="10" t="s">
        <v>131</v>
      </c>
      <c r="C147" s="43">
        <f>MIN(C141,ROUNDDOWN(C146/10,0)*10)</f>
        <v>300</v>
      </c>
      <c r="D147" s="10" t="s">
        <v>132</v>
      </c>
      <c r="E147" s="51"/>
      <c r="F147" s="51"/>
    </row>
    <row r="148">
      <c r="A148" s="10" t="s">
        <v>133</v>
      </c>
      <c r="B148" s="10" t="s">
        <v>134</v>
      </c>
      <c r="C148" s="43">
        <f>C139*1000/C147</f>
        <v>670.2064328</v>
      </c>
      <c r="D148" s="10" t="s">
        <v>122</v>
      </c>
      <c r="E148" s="51"/>
      <c r="F148" s="51"/>
    </row>
    <row r="149">
      <c r="A149" s="7"/>
      <c r="B149" s="42"/>
      <c r="C149" s="43"/>
      <c r="D149" s="42"/>
      <c r="E149" s="51"/>
      <c r="F149" s="51"/>
    </row>
    <row r="150">
      <c r="A150" s="7" t="s">
        <v>140</v>
      </c>
      <c r="B150" s="42"/>
      <c r="C150" s="43"/>
      <c r="D150" s="42"/>
      <c r="E150" s="51"/>
      <c r="F150" s="51"/>
    </row>
    <row r="151">
      <c r="A151" s="10" t="s">
        <v>463</v>
      </c>
      <c r="B151" s="10" t="s">
        <v>15</v>
      </c>
      <c r="C151" s="43" t="str">
        <f>C16&amp;"mm φ @ "&amp;C142&amp;" mm c/c"</f>
        <v>16mm φ @ 300 mm c/c</v>
      </c>
      <c r="D151" s="42"/>
      <c r="E151" s="51"/>
      <c r="F151" s="51"/>
    </row>
    <row r="152">
      <c r="A152" s="10" t="s">
        <v>464</v>
      </c>
      <c r="B152" s="10" t="s">
        <v>15</v>
      </c>
      <c r="C152" s="43" t="str">
        <f>C16&amp;"mm φ @ "&amp;C147&amp;" mm c/c"</f>
        <v>16mm φ @ 300 mm c/c</v>
      </c>
      <c r="D152" s="42"/>
      <c r="E152" s="51"/>
      <c r="F152" s="51"/>
    </row>
    <row r="153">
      <c r="A153" s="51"/>
      <c r="B153" s="51"/>
      <c r="C153" s="53"/>
      <c r="D153" s="51"/>
      <c r="E153" s="51"/>
      <c r="F153" s="51"/>
    </row>
    <row r="154">
      <c r="A154" s="6" t="s">
        <v>467</v>
      </c>
      <c r="B154" s="51"/>
      <c r="C154" s="53"/>
      <c r="D154" s="51"/>
      <c r="E154" s="51"/>
      <c r="F154" s="51"/>
    </row>
    <row r="155">
      <c r="A155" s="51"/>
      <c r="B155" s="51"/>
      <c r="C155" s="53"/>
      <c r="D155" s="51"/>
      <c r="E155" s="51"/>
      <c r="F155" s="51"/>
    </row>
    <row r="156">
      <c r="A156" s="10" t="s">
        <v>142</v>
      </c>
      <c r="B156" s="10" t="s">
        <v>143</v>
      </c>
      <c r="C156" s="43">
        <f>C69*C7/2</f>
        <v>54.9375</v>
      </c>
      <c r="D156" s="10" t="s">
        <v>74</v>
      </c>
      <c r="E156" s="51"/>
      <c r="F156" s="51"/>
    </row>
    <row r="157">
      <c r="A157" s="10" t="s">
        <v>144</v>
      </c>
      <c r="B157" s="10" t="s">
        <v>145</v>
      </c>
      <c r="C157" s="43">
        <f>(C156)/C30</f>
        <v>0.107195122</v>
      </c>
      <c r="D157" s="10" t="s">
        <v>113</v>
      </c>
      <c r="E157" s="51"/>
      <c r="F157" s="51"/>
    </row>
    <row r="158">
      <c r="A158" s="10" t="s">
        <v>146</v>
      </c>
      <c r="B158" s="10" t="s">
        <v>147</v>
      </c>
      <c r="C158" s="43">
        <f>(C118*100)/(1000*C30)</f>
        <v>0.3192675461</v>
      </c>
      <c r="D158" s="10" t="s">
        <v>148</v>
      </c>
      <c r="E158" s="51"/>
      <c r="F158" s="51"/>
    </row>
    <row r="159">
      <c r="A159" s="7" t="s">
        <v>149</v>
      </c>
      <c r="B159" s="42"/>
      <c r="C159" s="43"/>
      <c r="D159" s="42"/>
      <c r="E159" s="51"/>
      <c r="F159" s="51"/>
    </row>
    <row r="160">
      <c r="A160" s="10" t="s">
        <v>150</v>
      </c>
      <c r="B160" s="10" t="s">
        <v>151</v>
      </c>
      <c r="C160" s="55">
        <f>IF(C158&lt;0.15,0.28,IF(C158&lt;0.25,0.36,IF(C158&lt;0.5,0.49,IF(C158&lt;0.75,0.57,IF(C158&lt;1,0.64,IF(C158&lt;1.25,0.71,IF(C158&lt;1.5,0.76,0.82)))))))*SQRT(C11)/SQRT(25)</f>
        <v>0.5367681064</v>
      </c>
      <c r="D160" s="10" t="s">
        <v>113</v>
      </c>
      <c r="E160" s="51"/>
      <c r="F160" s="51"/>
    </row>
    <row r="161">
      <c r="A161" s="10" t="s">
        <v>152</v>
      </c>
      <c r="B161" s="10" t="s">
        <v>153</v>
      </c>
      <c r="C161" s="43">
        <f>0.5*SQRT(C11)</f>
        <v>2.738612788</v>
      </c>
      <c r="D161" s="10" t="s">
        <v>113</v>
      </c>
      <c r="E161" s="51"/>
      <c r="F161" s="51"/>
    </row>
    <row r="162">
      <c r="A162" s="42"/>
      <c r="B162" s="42"/>
      <c r="C162" s="43"/>
      <c r="D162" s="42"/>
      <c r="E162" s="51"/>
      <c r="F162" s="51"/>
    </row>
    <row r="163">
      <c r="A163" s="7" t="s">
        <v>154</v>
      </c>
      <c r="B163" s="42"/>
      <c r="C163" s="43"/>
      <c r="D163" s="42"/>
      <c r="E163" s="51"/>
      <c r="F163" s="51"/>
    </row>
    <row r="164">
      <c r="A164" s="10" t="s">
        <v>155</v>
      </c>
      <c r="B164" s="10" t="s">
        <v>15</v>
      </c>
      <c r="C164" s="43" t="str">
        <f>IF(C157&lt;C160,"SAFE","INCREASE DEPTH")</f>
        <v>SAFE</v>
      </c>
      <c r="D164" s="42"/>
      <c r="E164" s="51"/>
      <c r="F164" s="51"/>
    </row>
    <row r="165">
      <c r="A165" s="10" t="s">
        <v>156</v>
      </c>
      <c r="B165" s="10" t="s">
        <v>157</v>
      </c>
      <c r="C165" s="43">
        <f>C160/C157</f>
        <v>5.007393029</v>
      </c>
      <c r="D165" s="10" t="s">
        <v>15</v>
      </c>
      <c r="E165" s="51"/>
      <c r="F165" s="51"/>
    </row>
    <row r="166">
      <c r="A166" s="51"/>
      <c r="B166" s="51"/>
      <c r="C166" s="53"/>
      <c r="D166" s="51"/>
      <c r="E166" s="51"/>
      <c r="F166" s="51"/>
    </row>
    <row r="167">
      <c r="A167" s="6" t="s">
        <v>468</v>
      </c>
      <c r="B167" s="51"/>
      <c r="C167" s="53"/>
      <c r="D167" s="51"/>
      <c r="E167" s="51"/>
      <c r="F167" s="51"/>
    </row>
    <row r="168">
      <c r="A168" s="51"/>
      <c r="B168" s="51"/>
      <c r="C168" s="53"/>
      <c r="D168" s="51"/>
      <c r="E168" s="51"/>
      <c r="F168" s="51"/>
    </row>
    <row r="169">
      <c r="A169" s="7" t="s">
        <v>469</v>
      </c>
      <c r="B169" s="42"/>
      <c r="C169" s="43"/>
      <c r="D169" s="42"/>
      <c r="E169" s="51"/>
      <c r="F169" s="51"/>
    </row>
    <row r="170">
      <c r="A170" s="10" t="s">
        <v>322</v>
      </c>
      <c r="B170" s="10" t="s">
        <v>220</v>
      </c>
      <c r="C170" s="43">
        <f>C21</f>
        <v>300</v>
      </c>
      <c r="D170" s="10" t="s">
        <v>24</v>
      </c>
      <c r="E170" s="51"/>
      <c r="F170" s="51"/>
    </row>
    <row r="171">
      <c r="A171" s="10" t="s">
        <v>320</v>
      </c>
      <c r="B171" s="10" t="s">
        <v>470</v>
      </c>
      <c r="C171" s="43">
        <f>C6*1000</f>
        <v>1000</v>
      </c>
      <c r="D171" s="10" t="s">
        <v>24</v>
      </c>
      <c r="E171" s="51"/>
      <c r="F171" s="51"/>
    </row>
    <row r="172">
      <c r="A172" s="10" t="s">
        <v>471</v>
      </c>
      <c r="B172" s="10" t="s">
        <v>472</v>
      </c>
      <c r="C172" s="43">
        <f>C19*C6</f>
        <v>13.3125</v>
      </c>
      <c r="D172" s="10" t="s">
        <v>65</v>
      </c>
      <c r="E172" s="51"/>
      <c r="F172" s="51"/>
    </row>
    <row r="173">
      <c r="A173" s="10" t="s">
        <v>473</v>
      </c>
      <c r="B173" s="10" t="s">
        <v>474</v>
      </c>
      <c r="C173" s="43">
        <f>2*(C171+C170)+2*C30</f>
        <v>3625</v>
      </c>
      <c r="D173" s="10" t="s">
        <v>24</v>
      </c>
      <c r="E173" s="51"/>
      <c r="F173" s="51"/>
    </row>
    <row r="174">
      <c r="A174" s="10" t="s">
        <v>475</v>
      </c>
      <c r="B174" s="10" t="s">
        <v>476</v>
      </c>
      <c r="C174" s="43">
        <f>(C172*1000)/(C173*C30)</f>
        <v>0.00716568545</v>
      </c>
      <c r="D174" s="10" t="s">
        <v>113</v>
      </c>
      <c r="E174" s="51"/>
      <c r="F174" s="51"/>
    </row>
    <row r="175">
      <c r="A175" s="10" t="s">
        <v>477</v>
      </c>
      <c r="B175" s="10" t="s">
        <v>478</v>
      </c>
      <c r="C175" s="43">
        <f>0.25*SQRT(C11)</f>
        <v>1.369306394</v>
      </c>
      <c r="D175" s="10" t="s">
        <v>113</v>
      </c>
      <c r="E175" s="51"/>
      <c r="F175" s="51"/>
    </row>
    <row r="176">
      <c r="A176" s="10" t="s">
        <v>155</v>
      </c>
      <c r="B176" s="10" t="s">
        <v>15</v>
      </c>
      <c r="C176" s="43" t="str">
        <f>IF(C174&lt;C175,"SAFE","INCREASE DEPTH")</f>
        <v>SAFE</v>
      </c>
      <c r="D176" s="42"/>
      <c r="E176" s="51"/>
      <c r="F176" s="51"/>
    </row>
    <row r="177">
      <c r="A177" s="7" t="s">
        <v>479</v>
      </c>
      <c r="B177" s="42"/>
      <c r="C177" s="43"/>
      <c r="D177" s="42"/>
      <c r="E177" s="51"/>
      <c r="F177" s="51"/>
    </row>
    <row r="178">
      <c r="A178" s="10" t="s">
        <v>322</v>
      </c>
      <c r="B178" s="10" t="s">
        <v>220</v>
      </c>
      <c r="C178" s="43">
        <f>C22</f>
        <v>300</v>
      </c>
      <c r="D178" s="10" t="s">
        <v>24</v>
      </c>
      <c r="E178" s="51"/>
      <c r="F178" s="51"/>
    </row>
    <row r="179">
      <c r="A179" s="10" t="s">
        <v>320</v>
      </c>
      <c r="B179" s="10" t="s">
        <v>470</v>
      </c>
      <c r="C179" s="43">
        <f>C7*1000</f>
        <v>1000</v>
      </c>
      <c r="D179" s="10" t="s">
        <v>24</v>
      </c>
      <c r="E179" s="51"/>
      <c r="F179" s="51"/>
    </row>
    <row r="180">
      <c r="A180" s="10" t="s">
        <v>480</v>
      </c>
      <c r="B180" s="10" t="s">
        <v>472</v>
      </c>
      <c r="C180" s="43">
        <f>C20*C7</f>
        <v>13.3125</v>
      </c>
      <c r="D180" s="10" t="s">
        <v>65</v>
      </c>
      <c r="E180" s="51"/>
      <c r="F180" s="51"/>
    </row>
    <row r="181">
      <c r="A181" s="10" t="s">
        <v>473</v>
      </c>
      <c r="B181" s="10" t="s">
        <v>474</v>
      </c>
      <c r="C181" s="43">
        <f>2*(C179+C178)+2*C30</f>
        <v>3625</v>
      </c>
      <c r="D181" s="10" t="s">
        <v>24</v>
      </c>
      <c r="E181" s="51"/>
      <c r="F181" s="51"/>
    </row>
    <row r="182">
      <c r="A182" s="10" t="s">
        <v>475</v>
      </c>
      <c r="B182" s="10" t="s">
        <v>476</v>
      </c>
      <c r="C182" s="43">
        <f>(C180*1000)/(C181*C30)</f>
        <v>0.00716568545</v>
      </c>
      <c r="D182" s="10" t="s">
        <v>113</v>
      </c>
      <c r="E182" s="51"/>
      <c r="F182" s="51"/>
    </row>
    <row r="183">
      <c r="A183" s="10" t="s">
        <v>477</v>
      </c>
      <c r="B183" s="10" t="s">
        <v>478</v>
      </c>
      <c r="C183" s="43">
        <f>0.25*SQRT(C11)</f>
        <v>1.369306394</v>
      </c>
      <c r="D183" s="10" t="s">
        <v>113</v>
      </c>
      <c r="E183" s="51"/>
      <c r="F183" s="51"/>
    </row>
    <row r="184">
      <c r="A184" s="10" t="s">
        <v>155</v>
      </c>
      <c r="B184" s="10" t="s">
        <v>15</v>
      </c>
      <c r="C184" s="43" t="str">
        <f>IF(C182&lt;C183,"SAFE","INCREASE DEPTH")</f>
        <v>SAFE</v>
      </c>
      <c r="D184" s="42"/>
      <c r="E184" s="51"/>
      <c r="F184" s="51"/>
    </row>
    <row r="185">
      <c r="A185" s="51"/>
      <c r="B185" s="51"/>
      <c r="C185" s="53"/>
      <c r="D185" s="51"/>
      <c r="E185" s="51"/>
      <c r="F185" s="51"/>
    </row>
    <row r="186">
      <c r="A186" s="6" t="s">
        <v>481</v>
      </c>
      <c r="B186" s="51"/>
      <c r="C186" s="53"/>
      <c r="D186" s="51"/>
      <c r="E186" s="51"/>
      <c r="F186" s="51"/>
    </row>
    <row r="187">
      <c r="A187" s="51"/>
      <c r="B187" s="51"/>
      <c r="C187" s="53"/>
      <c r="D187" s="51"/>
      <c r="E187" s="51"/>
      <c r="F187" s="51"/>
    </row>
    <row r="188">
      <c r="A188" s="7" t="s">
        <v>169</v>
      </c>
      <c r="B188" s="42"/>
      <c r="C188" s="43"/>
      <c r="D188" s="42"/>
      <c r="E188" s="51"/>
      <c r="F188" s="51"/>
    </row>
    <row r="189">
      <c r="A189" s="10" t="s">
        <v>170</v>
      </c>
      <c r="B189" s="10" t="s">
        <v>171</v>
      </c>
      <c r="C189" s="32">
        <v>0.2</v>
      </c>
      <c r="D189" s="10" t="s">
        <v>24</v>
      </c>
      <c r="E189" s="51"/>
      <c r="F189" s="51"/>
    </row>
    <row r="190">
      <c r="A190" s="10" t="s">
        <v>172</v>
      </c>
      <c r="B190" s="10" t="s">
        <v>162</v>
      </c>
      <c r="C190" s="43">
        <f>0.58*C12*C113/C118</f>
        <v>108.9994909</v>
      </c>
      <c r="D190" s="10" t="s">
        <v>113</v>
      </c>
      <c r="E190" s="51"/>
      <c r="F190" s="51"/>
    </row>
    <row r="191">
      <c r="A191" s="10" t="s">
        <v>173</v>
      </c>
      <c r="B191" s="10" t="s">
        <v>174</v>
      </c>
      <c r="C191" s="43">
        <f>SQRT((C117/2)^2+(C13+C15/2)^2)</f>
        <v>173.6555499</v>
      </c>
      <c r="D191" s="10" t="s">
        <v>24</v>
      </c>
      <c r="E191" s="51"/>
      <c r="F191" s="51"/>
    </row>
    <row r="192">
      <c r="A192" s="10" t="s">
        <v>175</v>
      </c>
      <c r="B192" s="10" t="s">
        <v>176</v>
      </c>
      <c r="C192" s="43">
        <f>((3*C190*C191)/(C12*1000))*SQRT((C13+C15/2)/C30)</f>
        <v>0.04692685825</v>
      </c>
      <c r="D192" s="10" t="s">
        <v>24</v>
      </c>
      <c r="E192" s="51"/>
      <c r="F192" s="51"/>
    </row>
    <row r="193">
      <c r="A193" s="10" t="s">
        <v>155</v>
      </c>
      <c r="B193" s="10" t="s">
        <v>15</v>
      </c>
      <c r="C193" s="42" t="str">
        <f>IF(C192&lt;C189,"OK","REDUCE SPACING")</f>
        <v>OK</v>
      </c>
      <c r="D193" s="42"/>
      <c r="E193" s="51"/>
      <c r="F193" s="51"/>
    </row>
    <row r="194">
      <c r="A194" s="51"/>
      <c r="B194" s="51"/>
      <c r="C194" s="51"/>
      <c r="D194" s="51"/>
      <c r="E194" s="51"/>
      <c r="F194" s="51"/>
    </row>
    <row r="195">
      <c r="A195" s="36" t="s">
        <v>482</v>
      </c>
      <c r="B195" s="37"/>
      <c r="C195" s="37"/>
      <c r="D195" s="51"/>
      <c r="E195" s="51"/>
      <c r="F195" s="51"/>
    </row>
    <row r="196">
      <c r="A196" s="37"/>
      <c r="B196" s="37"/>
      <c r="C196" s="37"/>
      <c r="D196" s="51"/>
      <c r="E196" s="51"/>
      <c r="F196" s="51"/>
    </row>
    <row r="197">
      <c r="A197" s="39" t="s">
        <v>178</v>
      </c>
      <c r="B197" s="37">
        <f t="shared" ref="B197:B198" si="1">C29</f>
        <v>600</v>
      </c>
      <c r="C197" s="39" t="s">
        <v>24</v>
      </c>
      <c r="D197" s="51"/>
      <c r="E197" s="51"/>
      <c r="F197" s="51"/>
    </row>
    <row r="198">
      <c r="A198" s="39" t="s">
        <v>179</v>
      </c>
      <c r="B198" s="37">
        <f t="shared" si="1"/>
        <v>512.5</v>
      </c>
      <c r="C198" s="39" t="s">
        <v>24</v>
      </c>
      <c r="D198" s="51"/>
      <c r="E198" s="51"/>
      <c r="F198" s="51"/>
    </row>
    <row r="199">
      <c r="A199" s="36" t="s">
        <v>483</v>
      </c>
      <c r="B199" s="37"/>
      <c r="C199" s="37"/>
      <c r="D199" s="4"/>
      <c r="E199" s="51"/>
      <c r="F199" s="51"/>
    </row>
    <row r="200">
      <c r="A200" s="39" t="s">
        <v>484</v>
      </c>
      <c r="B200" s="38">
        <f t="shared" ref="B200:B201" si="2">C37</f>
        <v>15</v>
      </c>
      <c r="C200" s="39" t="s">
        <v>27</v>
      </c>
      <c r="D200" s="4"/>
      <c r="E200" s="51"/>
      <c r="F200" s="51"/>
    </row>
    <row r="201">
      <c r="A201" s="39" t="s">
        <v>485</v>
      </c>
      <c r="B201" s="38">
        <f t="shared" si="2"/>
        <v>5</v>
      </c>
      <c r="C201" s="39" t="s">
        <v>27</v>
      </c>
      <c r="D201" s="4"/>
      <c r="E201" s="51"/>
      <c r="F201" s="51"/>
    </row>
    <row r="202">
      <c r="A202" s="39" t="s">
        <v>486</v>
      </c>
      <c r="B202" s="38">
        <f t="shared" ref="B202:B203" si="3">C44</f>
        <v>53.25</v>
      </c>
      <c r="C202" s="39" t="s">
        <v>27</v>
      </c>
      <c r="D202" s="4"/>
      <c r="E202" s="51"/>
      <c r="F202" s="51"/>
    </row>
    <row r="203">
      <c r="A203" s="39" t="s">
        <v>487</v>
      </c>
      <c r="B203" s="38">
        <f t="shared" si="3"/>
        <v>73.25</v>
      </c>
      <c r="C203" s="39" t="s">
        <v>27</v>
      </c>
      <c r="D203" s="4"/>
      <c r="E203" s="51"/>
      <c r="F203" s="51"/>
    </row>
    <row r="204">
      <c r="A204" s="39" t="s">
        <v>488</v>
      </c>
      <c r="B204" s="38">
        <f>C47</f>
        <v>0</v>
      </c>
      <c r="C204" s="39" t="s">
        <v>27</v>
      </c>
      <c r="D204" s="4"/>
      <c r="E204" s="51"/>
      <c r="F204" s="51"/>
    </row>
    <row r="205">
      <c r="A205" s="39" t="s">
        <v>489</v>
      </c>
      <c r="B205" s="38">
        <f>C50</f>
        <v>73.25</v>
      </c>
      <c r="C205" s="39" t="s">
        <v>27</v>
      </c>
      <c r="D205" s="4"/>
      <c r="E205" s="51"/>
      <c r="F205" s="51"/>
    </row>
    <row r="206">
      <c r="A206" s="36" t="s">
        <v>490</v>
      </c>
      <c r="B206" s="37"/>
      <c r="C206" s="37"/>
      <c r="D206" s="4"/>
      <c r="E206" s="51"/>
      <c r="F206" s="51"/>
    </row>
    <row r="207">
      <c r="A207" s="39" t="s">
        <v>491</v>
      </c>
      <c r="B207" s="38">
        <f>C79</f>
        <v>7.428375</v>
      </c>
      <c r="C207" s="39" t="s">
        <v>98</v>
      </c>
      <c r="D207" s="4"/>
      <c r="E207" s="51"/>
      <c r="F207" s="51"/>
    </row>
    <row r="208">
      <c r="A208" s="39" t="s">
        <v>492</v>
      </c>
      <c r="B208" s="38">
        <f>C88</f>
        <v>0.54359375</v>
      </c>
      <c r="C208" s="39" t="s">
        <v>98</v>
      </c>
      <c r="D208" s="4"/>
      <c r="E208" s="51"/>
      <c r="F208" s="51"/>
    </row>
    <row r="209">
      <c r="A209" s="39" t="s">
        <v>493</v>
      </c>
      <c r="B209" s="38">
        <f>C98</f>
        <v>7.97196875</v>
      </c>
      <c r="C209" s="39" t="s">
        <v>98</v>
      </c>
      <c r="D209" s="4"/>
      <c r="E209" s="51"/>
      <c r="F209" s="51"/>
    </row>
    <row r="210">
      <c r="A210" s="39" t="s">
        <v>494</v>
      </c>
      <c r="B210" s="38">
        <f>C81</f>
        <v>4.63275</v>
      </c>
      <c r="C210" s="39" t="s">
        <v>98</v>
      </c>
      <c r="D210" s="4"/>
      <c r="E210" s="51"/>
      <c r="F210" s="51"/>
    </row>
    <row r="211">
      <c r="A211" s="39" t="s">
        <v>495</v>
      </c>
      <c r="B211" s="38">
        <f>C93</f>
        <v>0.54359375</v>
      </c>
      <c r="C211" s="39" t="s">
        <v>98</v>
      </c>
      <c r="D211" s="4"/>
      <c r="E211" s="51"/>
      <c r="F211" s="51"/>
    </row>
    <row r="212">
      <c r="A212" s="39" t="s">
        <v>496</v>
      </c>
      <c r="B212" s="38">
        <f>C102</f>
        <v>5.17634375</v>
      </c>
      <c r="C212" s="39" t="s">
        <v>98</v>
      </c>
      <c r="D212" s="4"/>
      <c r="E212" s="51"/>
      <c r="F212" s="51"/>
    </row>
    <row r="213">
      <c r="A213" s="36" t="s">
        <v>324</v>
      </c>
      <c r="B213" s="37"/>
      <c r="C213" s="37"/>
      <c r="D213" s="4"/>
      <c r="E213" s="51"/>
      <c r="F213" s="51"/>
    </row>
    <row r="214">
      <c r="A214" s="39" t="s">
        <v>182</v>
      </c>
      <c r="B214" s="38" t="str">
        <f t="shared" ref="B214:B215" si="4">C126</f>
        <v>25mm φ @ 300 mm c/c</v>
      </c>
      <c r="C214" s="37"/>
      <c r="D214" s="4"/>
      <c r="E214" s="51"/>
      <c r="F214" s="51"/>
    </row>
    <row r="215">
      <c r="A215" s="39" t="s">
        <v>181</v>
      </c>
      <c r="B215" s="38" t="str">
        <f t="shared" si="4"/>
        <v>25mm φ @ 300 mm c/c</v>
      </c>
      <c r="C215" s="37"/>
      <c r="D215" s="4"/>
      <c r="E215" s="51"/>
      <c r="F215" s="51"/>
    </row>
    <row r="216">
      <c r="A216" s="39" t="s">
        <v>184</v>
      </c>
      <c r="B216" s="38" t="str">
        <f t="shared" ref="B216:B217" si="5">C151</f>
        <v>16mm φ @ 300 mm c/c</v>
      </c>
      <c r="C216" s="37"/>
      <c r="D216" s="4"/>
      <c r="E216" s="51"/>
      <c r="F216" s="51"/>
    </row>
    <row r="217">
      <c r="A217" s="39" t="s">
        <v>183</v>
      </c>
      <c r="B217" s="38" t="str">
        <f t="shared" si="5"/>
        <v>16mm φ @ 300 mm c/c</v>
      </c>
      <c r="C217" s="37"/>
      <c r="D217" s="4"/>
      <c r="E217" s="51"/>
      <c r="F217" s="51"/>
    </row>
    <row r="218">
      <c r="A218" s="36" t="s">
        <v>185</v>
      </c>
      <c r="B218" s="37"/>
      <c r="C218" s="37"/>
      <c r="D218" s="4"/>
      <c r="E218" s="51"/>
      <c r="F218" s="51"/>
    </row>
    <row r="219">
      <c r="A219" s="39" t="s">
        <v>497</v>
      </c>
      <c r="B219" s="38" t="str">
        <f>C54</f>
        <v>OK</v>
      </c>
      <c r="C219" s="37"/>
      <c r="D219" s="4"/>
      <c r="E219" s="51"/>
      <c r="F219" s="51"/>
    </row>
    <row r="220">
      <c r="A220" s="39" t="s">
        <v>498</v>
      </c>
      <c r="B220" s="38" t="str">
        <f>C63</f>
        <v>SAFE</v>
      </c>
      <c r="C220" s="37"/>
      <c r="D220" s="4"/>
      <c r="E220" s="51"/>
      <c r="F220" s="51"/>
    </row>
    <row r="221">
      <c r="A221" s="39" t="s">
        <v>186</v>
      </c>
      <c r="B221" s="38" t="str">
        <f>C164</f>
        <v>SAFE</v>
      </c>
      <c r="C221" s="37"/>
      <c r="D221" s="4"/>
      <c r="E221" s="51"/>
      <c r="F221" s="51"/>
    </row>
    <row r="222">
      <c r="A222" s="39" t="s">
        <v>499</v>
      </c>
      <c r="B222" s="38" t="str">
        <f>C176</f>
        <v>SAFE</v>
      </c>
      <c r="C222" s="37"/>
      <c r="D222" s="4"/>
      <c r="E222" s="51"/>
      <c r="F222" s="51"/>
    </row>
    <row r="223">
      <c r="A223" s="39" t="s">
        <v>500</v>
      </c>
      <c r="B223" s="38" t="str">
        <f>C184</f>
        <v>SAFE</v>
      </c>
      <c r="C223" s="37"/>
      <c r="D223" s="4"/>
      <c r="E223" s="51"/>
      <c r="F223" s="51"/>
    </row>
    <row r="224">
      <c r="A224" s="39" t="s">
        <v>188</v>
      </c>
      <c r="B224" s="37" t="str">
        <f>C193</f>
        <v>OK</v>
      </c>
      <c r="C224" s="37"/>
      <c r="D224" s="51"/>
      <c r="E224" s="51"/>
      <c r="F224" s="51"/>
    </row>
    <row r="225">
      <c r="A225" s="37"/>
      <c r="B225" s="37"/>
      <c r="C225" s="37"/>
      <c r="D225" s="51"/>
      <c r="E225" s="51"/>
      <c r="F225" s="51"/>
    </row>
    <row r="226">
      <c r="A226" s="51"/>
      <c r="B226" s="51"/>
      <c r="C226" s="51"/>
      <c r="D226" s="51"/>
      <c r="E226" s="51"/>
      <c r="F226" s="51"/>
    </row>
    <row r="227">
      <c r="A227" s="51"/>
      <c r="B227" s="51"/>
      <c r="C227" s="51"/>
      <c r="D227" s="51"/>
      <c r="E227" s="51"/>
      <c r="F227" s="51"/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3.25"/>
    <col customWidth="1" min="3" max="3" width="12.13"/>
    <col customWidth="1" min="4" max="4" width="8.75"/>
    <col customWidth="1" min="5" max="5" width="14.13"/>
  </cols>
  <sheetData>
    <row r="1">
      <c r="A1" s="56" t="s">
        <v>501</v>
      </c>
    </row>
    <row r="4">
      <c r="A4" s="57" t="s">
        <v>332</v>
      </c>
      <c r="B4" s="58"/>
      <c r="C4" s="58"/>
      <c r="D4" s="58"/>
      <c r="E4" s="58"/>
      <c r="F4" s="58"/>
    </row>
    <row r="5">
      <c r="A5" s="57"/>
      <c r="B5" s="58"/>
      <c r="C5" s="58"/>
      <c r="D5" s="58"/>
      <c r="E5" s="58"/>
      <c r="F5" s="58"/>
    </row>
    <row r="6">
      <c r="A6" s="59" t="s">
        <v>502</v>
      </c>
      <c r="B6" s="60"/>
      <c r="C6" s="60"/>
      <c r="D6" s="60"/>
    </row>
    <row r="7">
      <c r="A7" s="58" t="s">
        <v>5</v>
      </c>
      <c r="B7" s="58" t="s">
        <v>7</v>
      </c>
      <c r="C7" s="58" t="s">
        <v>8</v>
      </c>
      <c r="D7" s="58"/>
    </row>
    <row r="8">
      <c r="A8" s="58" t="s">
        <v>503</v>
      </c>
      <c r="B8" s="61">
        <f>Inputs!A2</f>
        <v>1</v>
      </c>
      <c r="C8" s="58" t="s">
        <v>11</v>
      </c>
      <c r="D8" s="58"/>
    </row>
    <row r="9">
      <c r="A9" s="58" t="s">
        <v>504</v>
      </c>
      <c r="B9" s="61">
        <f>Inputs!B2</f>
        <v>1</v>
      </c>
      <c r="C9" s="58" t="s">
        <v>11</v>
      </c>
      <c r="D9" s="58"/>
    </row>
    <row r="10">
      <c r="A10" s="58" t="s">
        <v>505</v>
      </c>
      <c r="B10" s="61">
        <f>Inputs!C2</f>
        <v>1</v>
      </c>
      <c r="C10" s="58" t="s">
        <v>11</v>
      </c>
      <c r="D10" s="58"/>
    </row>
    <row r="11">
      <c r="A11" s="58" t="s">
        <v>506</v>
      </c>
      <c r="B11" s="60">
        <f>B8*B9*B10</f>
        <v>1</v>
      </c>
      <c r="C11" s="58" t="s">
        <v>507</v>
      </c>
      <c r="D11" s="58"/>
    </row>
    <row r="12">
      <c r="A12" s="58" t="s">
        <v>508</v>
      </c>
      <c r="B12" s="60">
        <f>B11*1000</f>
        <v>1000</v>
      </c>
      <c r="C12" s="58" t="s">
        <v>509</v>
      </c>
      <c r="D12" s="58"/>
    </row>
    <row r="13">
      <c r="A13" s="58" t="s">
        <v>510</v>
      </c>
      <c r="B13" s="60">
        <f>B12/1000</f>
        <v>1</v>
      </c>
      <c r="C13" s="58" t="s">
        <v>511</v>
      </c>
      <c r="D13" s="58"/>
    </row>
    <row r="15">
      <c r="A15" s="59" t="s">
        <v>512</v>
      </c>
      <c r="B15" s="60"/>
      <c r="C15" s="60"/>
      <c r="D15" s="60"/>
    </row>
    <row r="16">
      <c r="A16" s="58" t="s">
        <v>513</v>
      </c>
      <c r="B16" s="58" t="s">
        <v>514</v>
      </c>
      <c r="C16" s="58" t="s">
        <v>515</v>
      </c>
      <c r="D16" s="58"/>
    </row>
    <row r="17">
      <c r="A17" s="58" t="s">
        <v>516</v>
      </c>
      <c r="B17" s="62">
        <f>'Roof Slab'!B148</f>
        <v>150</v>
      </c>
      <c r="C17" s="60">
        <f t="shared" ref="C17:C20" si="1">B17/1000</f>
        <v>0.15</v>
      </c>
      <c r="D17" s="58"/>
    </row>
    <row r="18">
      <c r="A18" s="58" t="s">
        <v>517</v>
      </c>
      <c r="B18" s="62">
        <f>'Base Slab'!B197</f>
        <v>600</v>
      </c>
      <c r="C18" s="60">
        <f t="shared" si="1"/>
        <v>0.6</v>
      </c>
      <c r="D18" s="58"/>
    </row>
    <row r="19">
      <c r="A19" s="58" t="s">
        <v>518</v>
      </c>
      <c r="B19" s="62">
        <f>'Long Wall'!C92</f>
        <v>300</v>
      </c>
      <c r="C19" s="60">
        <f t="shared" si="1"/>
        <v>0.3</v>
      </c>
      <c r="D19" s="58"/>
    </row>
    <row r="20">
      <c r="A20" s="58" t="s">
        <v>519</v>
      </c>
      <c r="B20" s="62">
        <f>'Short Wall'!C135</f>
        <v>300</v>
      </c>
      <c r="C20" s="60">
        <f t="shared" si="1"/>
        <v>0.3</v>
      </c>
      <c r="D20" s="58"/>
    </row>
    <row r="21">
      <c r="A21" s="58"/>
      <c r="B21" s="58"/>
      <c r="C21" s="60"/>
    </row>
    <row r="22">
      <c r="A22" s="6" t="s">
        <v>520</v>
      </c>
      <c r="B22" s="4"/>
      <c r="C22" s="4"/>
      <c r="D22" s="4"/>
      <c r="E22" s="4"/>
      <c r="F22" s="4"/>
      <c r="G22" s="4"/>
      <c r="H22" s="4"/>
    </row>
    <row r="23">
      <c r="A23" s="6"/>
      <c r="B23" s="4"/>
      <c r="C23" s="4"/>
      <c r="D23" s="4"/>
      <c r="E23" s="4"/>
      <c r="F23" s="4"/>
      <c r="G23" s="4"/>
      <c r="H23" s="4"/>
    </row>
    <row r="24">
      <c r="A24" s="7" t="s">
        <v>5</v>
      </c>
      <c r="B24" s="7" t="s">
        <v>521</v>
      </c>
      <c r="C24" s="7" t="s">
        <v>522</v>
      </c>
      <c r="D24" s="7" t="s">
        <v>523</v>
      </c>
      <c r="E24" s="7" t="s">
        <v>524</v>
      </c>
      <c r="F24" s="7" t="s">
        <v>8</v>
      </c>
      <c r="G24" s="7" t="s">
        <v>525</v>
      </c>
      <c r="H24" s="4"/>
    </row>
    <row r="25">
      <c r="A25" s="7" t="s">
        <v>526</v>
      </c>
      <c r="B25" s="42"/>
      <c r="C25" s="42"/>
      <c r="D25" s="42"/>
      <c r="E25" s="42"/>
      <c r="F25" s="42"/>
      <c r="G25" s="42"/>
      <c r="H25" s="4"/>
    </row>
    <row r="26">
      <c r="A26" s="10" t="s">
        <v>527</v>
      </c>
      <c r="B26" s="42">
        <f>B8+1</f>
        <v>2</v>
      </c>
      <c r="C26" s="42">
        <f>B9+1</f>
        <v>2</v>
      </c>
      <c r="D26" s="10">
        <v>3.5</v>
      </c>
      <c r="E26" s="42">
        <f t="shared" ref="E26:E27" si="3">B26*C26*D26</f>
        <v>14</v>
      </c>
      <c r="F26" s="10" t="s">
        <v>507</v>
      </c>
      <c r="G26" s="10" t="s">
        <v>528</v>
      </c>
      <c r="H26" s="4"/>
    </row>
    <row r="27">
      <c r="A27" s="10" t="s">
        <v>529</v>
      </c>
      <c r="B27" s="42">
        <f t="shared" ref="B27:C27" si="2">B26</f>
        <v>2</v>
      </c>
      <c r="C27" s="42">
        <f t="shared" si="2"/>
        <v>2</v>
      </c>
      <c r="D27" s="10">
        <v>0.5</v>
      </c>
      <c r="E27" s="42">
        <f t="shared" si="3"/>
        <v>2</v>
      </c>
      <c r="F27" s="10" t="s">
        <v>507</v>
      </c>
      <c r="G27" s="10" t="s">
        <v>530</v>
      </c>
      <c r="H27" s="4"/>
    </row>
    <row r="28">
      <c r="A28" s="10" t="s">
        <v>531</v>
      </c>
      <c r="B28" s="10" t="s">
        <v>15</v>
      </c>
      <c r="C28" s="10" t="s">
        <v>15</v>
      </c>
      <c r="D28" s="10" t="s">
        <v>15</v>
      </c>
      <c r="E28" s="42">
        <f>E26-E27</f>
        <v>12</v>
      </c>
      <c r="F28" s="10" t="s">
        <v>507</v>
      </c>
      <c r="G28" s="10" t="s">
        <v>532</v>
      </c>
      <c r="H28" s="4"/>
    </row>
    <row r="29">
      <c r="A29" s="7" t="s">
        <v>533</v>
      </c>
      <c r="B29" s="42"/>
      <c r="C29" s="42"/>
      <c r="D29" s="42"/>
      <c r="E29" s="42"/>
      <c r="F29" s="42"/>
      <c r="G29" s="42"/>
      <c r="H29" s="4"/>
    </row>
    <row r="30">
      <c r="A30" s="10" t="s">
        <v>517</v>
      </c>
      <c r="B30" s="42">
        <f>B8</f>
        <v>1</v>
      </c>
      <c r="C30" s="42">
        <f>B9</f>
        <v>1</v>
      </c>
      <c r="D30" s="42">
        <f>C18</f>
        <v>0.6</v>
      </c>
      <c r="E30" s="42">
        <f>B30*C30*D30</f>
        <v>0.6</v>
      </c>
      <c r="F30" s="10" t="s">
        <v>507</v>
      </c>
      <c r="G30" s="10"/>
      <c r="H30" s="4"/>
    </row>
    <row r="31">
      <c r="A31" s="10" t="s">
        <v>534</v>
      </c>
      <c r="B31" s="42">
        <f t="shared" ref="B31:B32" si="4">B8*2</f>
        <v>2</v>
      </c>
      <c r="C31" s="10" t="s">
        <v>15</v>
      </c>
      <c r="D31" s="42">
        <f>B10*C19</f>
        <v>0.3</v>
      </c>
      <c r="E31" s="42">
        <f t="shared" ref="E31:E32" si="5">B31*D31</f>
        <v>0.6</v>
      </c>
      <c r="F31" s="10" t="s">
        <v>507</v>
      </c>
      <c r="G31" s="10" t="s">
        <v>535</v>
      </c>
      <c r="H31" s="4"/>
    </row>
    <row r="32">
      <c r="A32" s="10" t="s">
        <v>536</v>
      </c>
      <c r="B32" s="42">
        <f t="shared" si="4"/>
        <v>2</v>
      </c>
      <c r="C32" s="10" t="s">
        <v>15</v>
      </c>
      <c r="D32" s="42">
        <f>B10*C20</f>
        <v>0.3</v>
      </c>
      <c r="E32" s="42">
        <f t="shared" si="5"/>
        <v>0.6</v>
      </c>
      <c r="F32" s="10" t="s">
        <v>507</v>
      </c>
      <c r="G32" s="10" t="s">
        <v>537</v>
      </c>
      <c r="H32" s="4"/>
    </row>
    <row r="33">
      <c r="A33" s="10" t="s">
        <v>516</v>
      </c>
      <c r="B33" s="42">
        <f>B8</f>
        <v>1</v>
      </c>
      <c r="C33" s="42">
        <f>B9</f>
        <v>1</v>
      </c>
      <c r="D33" s="42">
        <f>C17</f>
        <v>0.15</v>
      </c>
      <c r="E33" s="42">
        <f>B33*C33*D33</f>
        <v>0.15</v>
      </c>
      <c r="F33" s="10" t="s">
        <v>507</v>
      </c>
      <c r="G33" s="10"/>
      <c r="H33" s="4"/>
    </row>
    <row r="34">
      <c r="A34" s="63" t="s">
        <v>538</v>
      </c>
      <c r="B34" s="42"/>
      <c r="C34" s="42"/>
      <c r="D34" s="42"/>
      <c r="E34" s="42">
        <f>SUM(E30:E33)</f>
        <v>1.95</v>
      </c>
      <c r="F34" s="10" t="s">
        <v>507</v>
      </c>
      <c r="G34" s="42"/>
      <c r="H34" s="4"/>
    </row>
    <row r="35">
      <c r="A35" s="10" t="s">
        <v>539</v>
      </c>
      <c r="B35" s="42"/>
      <c r="C35" s="42"/>
      <c r="D35" s="42"/>
      <c r="E35" s="42">
        <f>E34*0.02</f>
        <v>0.039</v>
      </c>
      <c r="F35" s="10" t="s">
        <v>507</v>
      </c>
      <c r="G35" s="42"/>
      <c r="H35" s="4"/>
    </row>
    <row r="36">
      <c r="A36" s="10" t="s">
        <v>540</v>
      </c>
      <c r="B36" s="42"/>
      <c r="C36" s="42"/>
      <c r="D36" s="42"/>
      <c r="E36" s="42">
        <f>E34+E35</f>
        <v>1.989</v>
      </c>
      <c r="F36" s="10" t="s">
        <v>507</v>
      </c>
      <c r="G36" s="10" t="s">
        <v>541</v>
      </c>
      <c r="H36" s="4"/>
    </row>
    <row r="37">
      <c r="A37" s="5" t="s">
        <v>542</v>
      </c>
      <c r="B37" s="4"/>
      <c r="C37" s="4"/>
      <c r="D37" s="4"/>
      <c r="E37" s="4"/>
      <c r="F37" s="4"/>
      <c r="G37" s="4"/>
      <c r="H37" s="4"/>
    </row>
    <row r="38">
      <c r="A38" s="10" t="s">
        <v>543</v>
      </c>
      <c r="B38" s="42"/>
      <c r="C38" s="42"/>
      <c r="D38" s="42"/>
      <c r="E38" s="42">
        <f>E30*120</f>
        <v>72</v>
      </c>
      <c r="F38" s="10" t="s">
        <v>544</v>
      </c>
      <c r="G38" s="10" t="s">
        <v>545</v>
      </c>
      <c r="H38" s="4"/>
    </row>
    <row r="39">
      <c r="A39" s="10" t="s">
        <v>546</v>
      </c>
      <c r="B39" s="42"/>
      <c r="C39" s="42"/>
      <c r="D39" s="42"/>
      <c r="E39" s="42">
        <f>(E31+E32)*110</f>
        <v>132</v>
      </c>
      <c r="F39" s="10" t="s">
        <v>544</v>
      </c>
      <c r="G39" s="10" t="s">
        <v>547</v>
      </c>
      <c r="H39" s="4"/>
    </row>
    <row r="40">
      <c r="A40" s="10" t="s">
        <v>548</v>
      </c>
      <c r="B40" s="42"/>
      <c r="C40" s="42"/>
      <c r="D40" s="42"/>
      <c r="E40" s="42">
        <f>E33*100</f>
        <v>15</v>
      </c>
      <c r="F40" s="10" t="s">
        <v>544</v>
      </c>
      <c r="G40" s="10" t="s">
        <v>549</v>
      </c>
      <c r="H40" s="4"/>
    </row>
    <row r="41">
      <c r="A41" s="63" t="s">
        <v>550</v>
      </c>
      <c r="B41" s="42"/>
      <c r="C41" s="42"/>
      <c r="D41" s="42"/>
      <c r="E41" s="42">
        <f>SUM(E38:E40)</f>
        <v>219</v>
      </c>
      <c r="F41" s="10" t="s">
        <v>544</v>
      </c>
      <c r="G41" s="42"/>
      <c r="H41" s="4"/>
    </row>
    <row r="42">
      <c r="A42" s="10" t="s">
        <v>551</v>
      </c>
      <c r="B42" s="42"/>
      <c r="C42" s="42"/>
      <c r="D42" s="42"/>
      <c r="E42" s="42">
        <f>E41*0.1</f>
        <v>21.9</v>
      </c>
      <c r="F42" s="10" t="s">
        <v>544</v>
      </c>
      <c r="G42" s="42"/>
      <c r="H42" s="4"/>
    </row>
    <row r="43">
      <c r="A43" s="10" t="s">
        <v>552</v>
      </c>
      <c r="B43" s="42"/>
      <c r="C43" s="42"/>
      <c r="D43" s="42"/>
      <c r="E43" s="42">
        <f>E41+E42</f>
        <v>240.9</v>
      </c>
      <c r="F43" s="10" t="s">
        <v>544</v>
      </c>
      <c r="G43" s="10" t="s">
        <v>541</v>
      </c>
      <c r="H43" s="4"/>
    </row>
    <row r="44">
      <c r="A44" s="10" t="s">
        <v>553</v>
      </c>
      <c r="B44" s="42"/>
      <c r="C44" s="42"/>
      <c r="D44" s="42"/>
      <c r="E44" s="42">
        <f>E43/1000</f>
        <v>0.2409</v>
      </c>
      <c r="F44" s="10" t="s">
        <v>554</v>
      </c>
      <c r="G44" s="10" t="s">
        <v>555</v>
      </c>
      <c r="H44" s="4"/>
    </row>
    <row r="45">
      <c r="A45" s="5" t="s">
        <v>556</v>
      </c>
      <c r="B45" s="4"/>
      <c r="C45" s="4"/>
      <c r="D45" s="4"/>
      <c r="E45" s="4"/>
      <c r="F45" s="4"/>
      <c r="G45" s="4"/>
      <c r="H45" s="4"/>
    </row>
    <row r="46">
      <c r="A46" s="10" t="s">
        <v>557</v>
      </c>
      <c r="B46" s="42">
        <f>B8</f>
        <v>1</v>
      </c>
      <c r="C46" s="42">
        <f>B9</f>
        <v>1</v>
      </c>
      <c r="D46" s="10" t="s">
        <v>15</v>
      </c>
      <c r="E46" s="42">
        <f>B46*C46</f>
        <v>1</v>
      </c>
      <c r="F46" s="10" t="s">
        <v>69</v>
      </c>
      <c r="G46" s="42"/>
      <c r="H46" s="4"/>
    </row>
    <row r="47">
      <c r="A47" s="10" t="s">
        <v>558</v>
      </c>
      <c r="B47" s="42">
        <f>B8*B10*2*2</f>
        <v>4</v>
      </c>
      <c r="C47" s="10" t="s">
        <v>15</v>
      </c>
      <c r="D47" s="10" t="s">
        <v>15</v>
      </c>
      <c r="E47" s="42">
        <f t="shared" ref="E47:E48" si="6">B47</f>
        <v>4</v>
      </c>
      <c r="F47" s="10" t="s">
        <v>69</v>
      </c>
      <c r="G47" s="10" t="s">
        <v>559</v>
      </c>
      <c r="H47" s="4"/>
    </row>
    <row r="48">
      <c r="A48" s="10" t="s">
        <v>560</v>
      </c>
      <c r="B48" s="42">
        <f>B9*B10*2*2</f>
        <v>4</v>
      </c>
      <c r="C48" s="10" t="s">
        <v>15</v>
      </c>
      <c r="D48" s="10" t="s">
        <v>15</v>
      </c>
      <c r="E48" s="42">
        <f t="shared" si="6"/>
        <v>4</v>
      </c>
      <c r="F48" s="10" t="s">
        <v>69</v>
      </c>
      <c r="G48" s="10" t="s">
        <v>559</v>
      </c>
      <c r="H48" s="4"/>
    </row>
    <row r="49">
      <c r="A49" s="10" t="s">
        <v>561</v>
      </c>
      <c r="B49" s="42">
        <f>B8</f>
        <v>1</v>
      </c>
      <c r="C49" s="42">
        <f>B9</f>
        <v>1</v>
      </c>
      <c r="D49" s="10" t="s">
        <v>15</v>
      </c>
      <c r="E49" s="42">
        <f>B49*C49</f>
        <v>1</v>
      </c>
      <c r="F49" s="10" t="s">
        <v>69</v>
      </c>
      <c r="G49" s="42"/>
      <c r="H49" s="4"/>
    </row>
    <row r="50">
      <c r="A50" s="63" t="s">
        <v>562</v>
      </c>
      <c r="B50" s="42"/>
      <c r="C50" s="42"/>
      <c r="D50" s="42"/>
      <c r="E50" s="42">
        <f>SUM(E46:E49)</f>
        <v>10</v>
      </c>
      <c r="F50" s="10" t="s">
        <v>69</v>
      </c>
      <c r="G50" s="42"/>
      <c r="H50" s="4"/>
    </row>
    <row r="51">
      <c r="A51" s="10" t="s">
        <v>563</v>
      </c>
      <c r="B51" s="42"/>
      <c r="C51" s="42"/>
      <c r="D51" s="42"/>
      <c r="E51" s="42">
        <f>E50*0.15</f>
        <v>1.5</v>
      </c>
      <c r="F51" s="10" t="s">
        <v>69</v>
      </c>
      <c r="G51" s="42"/>
      <c r="H51" s="4"/>
    </row>
    <row r="52">
      <c r="A52" s="10" t="s">
        <v>564</v>
      </c>
      <c r="B52" s="42"/>
      <c r="C52" s="42"/>
      <c r="D52" s="42"/>
      <c r="E52" s="42">
        <f>E50+E51</f>
        <v>11.5</v>
      </c>
      <c r="F52" s="10" t="s">
        <v>69</v>
      </c>
      <c r="G52" s="10" t="s">
        <v>541</v>
      </c>
      <c r="H52" s="4"/>
    </row>
    <row r="53">
      <c r="A53" s="7" t="s">
        <v>565</v>
      </c>
      <c r="B53" s="42"/>
      <c r="C53" s="42"/>
      <c r="D53" s="42"/>
      <c r="E53" s="42"/>
      <c r="F53" s="42"/>
      <c r="G53" s="42"/>
      <c r="H53" s="4"/>
    </row>
    <row r="54">
      <c r="A54" s="10" t="s">
        <v>566</v>
      </c>
      <c r="B54" s="42">
        <f>(B8*B9)+(B8*B10*2)+(B9*B10*2)</f>
        <v>5</v>
      </c>
      <c r="C54" s="42"/>
      <c r="D54" s="42"/>
      <c r="E54" s="42">
        <f t="shared" ref="E54:E55" si="7">B54</f>
        <v>5</v>
      </c>
      <c r="F54" s="10" t="s">
        <v>69</v>
      </c>
      <c r="G54" s="10" t="s">
        <v>567</v>
      </c>
      <c r="H54" s="4"/>
    </row>
    <row r="55">
      <c r="A55" s="10" t="s">
        <v>568</v>
      </c>
      <c r="B55" s="42">
        <f>(B8*B9)+(B8*B10*2)+(B9*B10*2)</f>
        <v>5</v>
      </c>
      <c r="C55" s="42"/>
      <c r="D55" s="42"/>
      <c r="E55" s="42">
        <f t="shared" si="7"/>
        <v>5</v>
      </c>
      <c r="F55" s="10" t="s">
        <v>69</v>
      </c>
      <c r="G55" s="10" t="s">
        <v>569</v>
      </c>
      <c r="H55" s="4"/>
    </row>
    <row r="56">
      <c r="A56" s="10" t="s">
        <v>570</v>
      </c>
      <c r="B56" s="42"/>
      <c r="C56" s="42"/>
      <c r="D56" s="42"/>
      <c r="E56" s="42">
        <f>E36</f>
        <v>1.989</v>
      </c>
      <c r="F56" s="10" t="s">
        <v>507</v>
      </c>
      <c r="G56" s="10" t="s">
        <v>571</v>
      </c>
      <c r="H56" s="4"/>
    </row>
    <row r="57">
      <c r="A57" s="5" t="s">
        <v>572</v>
      </c>
      <c r="B57" s="4"/>
      <c r="C57" s="4"/>
      <c r="D57" s="4"/>
      <c r="E57" s="4"/>
      <c r="F57" s="4"/>
      <c r="G57" s="4"/>
      <c r="H57" s="4"/>
    </row>
    <row r="58">
      <c r="A58" s="10" t="s">
        <v>573</v>
      </c>
      <c r="B58" s="42">
        <f>(B8*B9*2)+(B8*B10*2)+(B9*B10*2)</f>
        <v>6</v>
      </c>
      <c r="C58" s="42"/>
      <c r="D58" s="42"/>
      <c r="E58" s="42">
        <f t="shared" ref="E58:E59" si="8">B58</f>
        <v>6</v>
      </c>
      <c r="F58" s="10" t="s">
        <v>69</v>
      </c>
      <c r="G58" s="10" t="s">
        <v>574</v>
      </c>
      <c r="H58" s="4"/>
    </row>
    <row r="59">
      <c r="A59" s="10" t="s">
        <v>575</v>
      </c>
      <c r="B59" s="42">
        <f>(B8*B10*2)+(B9*B10*2)</f>
        <v>4</v>
      </c>
      <c r="C59" s="42"/>
      <c r="D59" s="42"/>
      <c r="E59" s="42">
        <f t="shared" si="8"/>
        <v>4</v>
      </c>
      <c r="F59" s="10" t="s">
        <v>69</v>
      </c>
      <c r="G59" s="10" t="s">
        <v>576</v>
      </c>
      <c r="H59" s="4"/>
    </row>
    <row r="60">
      <c r="A60" s="7" t="s">
        <v>577</v>
      </c>
      <c r="B60" s="42"/>
      <c r="C60" s="42"/>
      <c r="D60" s="42"/>
      <c r="E60" s="42"/>
      <c r="F60" s="42"/>
      <c r="G60" s="42"/>
      <c r="H60" s="42"/>
    </row>
    <row r="61">
      <c r="A61" s="10" t="s">
        <v>578</v>
      </c>
      <c r="B61" s="42"/>
      <c r="C61" s="42"/>
      <c r="D61" s="42"/>
      <c r="E61" s="10">
        <v>3.0</v>
      </c>
      <c r="F61" s="10" t="s">
        <v>11</v>
      </c>
      <c r="G61" s="10" t="s">
        <v>579</v>
      </c>
      <c r="H61" s="42"/>
    </row>
    <row r="62">
      <c r="A62" s="10" t="s">
        <v>580</v>
      </c>
      <c r="B62" s="42"/>
      <c r="C62" s="42"/>
      <c r="D62" s="42"/>
      <c r="E62" s="10">
        <v>1.0</v>
      </c>
      <c r="F62" s="10" t="s">
        <v>11</v>
      </c>
      <c r="G62" s="42"/>
      <c r="H62" s="42"/>
    </row>
    <row r="63">
      <c r="A63" s="10" t="s">
        <v>581</v>
      </c>
      <c r="B63" s="42"/>
      <c r="C63" s="42"/>
      <c r="D63" s="42"/>
      <c r="E63" s="10">
        <v>2.0</v>
      </c>
      <c r="F63" s="10" t="s">
        <v>11</v>
      </c>
      <c r="G63" s="42"/>
      <c r="H63" s="42"/>
    </row>
    <row r="64">
      <c r="A64" s="10" t="s">
        <v>582</v>
      </c>
      <c r="B64" s="42"/>
      <c r="C64" s="42"/>
      <c r="D64" s="42"/>
      <c r="E64" s="10">
        <v>1.0</v>
      </c>
      <c r="F64" s="10" t="s">
        <v>583</v>
      </c>
      <c r="G64" s="42"/>
      <c r="H64" s="42"/>
      <c r="I64" s="60"/>
      <c r="J64" s="60"/>
      <c r="K64" s="60"/>
    </row>
    <row r="65">
      <c r="A65" s="10" t="s">
        <v>584</v>
      </c>
      <c r="B65" s="42"/>
      <c r="C65" s="42"/>
      <c r="D65" s="42"/>
      <c r="E65" s="42">
        <f>B10</f>
        <v>1</v>
      </c>
      <c r="F65" s="10" t="s">
        <v>11</v>
      </c>
      <c r="G65" s="10" t="s">
        <v>585</v>
      </c>
      <c r="H65" s="42"/>
      <c r="I65" s="60"/>
      <c r="J65" s="60"/>
      <c r="K65" s="60"/>
    </row>
    <row r="66">
      <c r="A66" s="10" t="s">
        <v>586</v>
      </c>
      <c r="B66" s="42"/>
      <c r="C66" s="42"/>
      <c r="D66" s="42"/>
      <c r="E66" s="10">
        <v>1.0</v>
      </c>
      <c r="F66" s="10" t="s">
        <v>583</v>
      </c>
      <c r="G66" s="10" t="s">
        <v>587</v>
      </c>
      <c r="H66" s="42"/>
      <c r="I66" s="60"/>
      <c r="J66" s="60"/>
      <c r="K66" s="60"/>
    </row>
    <row r="67">
      <c r="A67" s="10" t="s">
        <v>588</v>
      </c>
      <c r="B67" s="42"/>
      <c r="C67" s="42"/>
      <c r="D67" s="42"/>
      <c r="E67" s="10">
        <v>2.0</v>
      </c>
      <c r="F67" s="10" t="s">
        <v>11</v>
      </c>
      <c r="G67" s="42"/>
      <c r="H67" s="42"/>
      <c r="I67" s="60"/>
      <c r="J67" s="60"/>
      <c r="K67" s="60"/>
    </row>
    <row r="68">
      <c r="A68" s="42"/>
      <c r="B68" s="42"/>
      <c r="C68" s="42"/>
      <c r="D68" s="42"/>
      <c r="E68" s="42"/>
      <c r="F68" s="42"/>
      <c r="G68" s="42"/>
      <c r="H68" s="42"/>
      <c r="I68" s="60"/>
      <c r="J68" s="60"/>
      <c r="K68" s="60"/>
    </row>
    <row r="69">
      <c r="A69" s="45" t="s">
        <v>589</v>
      </c>
      <c r="B69" s="42"/>
      <c r="C69" s="42"/>
      <c r="D69" s="42"/>
      <c r="E69" s="42"/>
      <c r="F69" s="42"/>
      <c r="G69" s="42"/>
      <c r="H69" s="42"/>
      <c r="I69" s="60"/>
      <c r="J69" s="60"/>
      <c r="K69" s="60"/>
    </row>
    <row r="70">
      <c r="A70" s="4"/>
      <c r="B70" s="4"/>
      <c r="C70" s="4"/>
      <c r="D70" s="4"/>
      <c r="E70" s="4"/>
      <c r="F70" s="4"/>
      <c r="G70" s="4"/>
      <c r="H70" s="4"/>
      <c r="I70" s="60"/>
      <c r="J70" s="60"/>
      <c r="K70" s="60"/>
    </row>
    <row r="71">
      <c r="A71" s="7" t="s">
        <v>5</v>
      </c>
      <c r="B71" s="7" t="s">
        <v>524</v>
      </c>
      <c r="C71" s="7" t="s">
        <v>8</v>
      </c>
      <c r="D71" s="7" t="s">
        <v>590</v>
      </c>
      <c r="E71" s="7" t="s">
        <v>591</v>
      </c>
      <c r="F71" s="4"/>
      <c r="G71" s="4"/>
      <c r="H71" s="4"/>
      <c r="I71" s="60"/>
      <c r="J71" s="60"/>
      <c r="K71" s="60"/>
    </row>
    <row r="72">
      <c r="A72" s="7"/>
      <c r="B72" s="7"/>
      <c r="C72" s="7"/>
      <c r="D72" s="7"/>
      <c r="E72" s="7"/>
      <c r="F72" s="4"/>
      <c r="G72" s="4"/>
      <c r="H72" s="4"/>
      <c r="I72" s="60"/>
      <c r="J72" s="60"/>
      <c r="K72" s="60"/>
    </row>
    <row r="73">
      <c r="A73" s="5" t="s">
        <v>592</v>
      </c>
      <c r="B73" s="4"/>
      <c r="C73" s="4"/>
      <c r="D73" s="4"/>
      <c r="E73" s="4"/>
      <c r="F73" s="4"/>
      <c r="G73" s="4"/>
      <c r="H73" s="4"/>
      <c r="I73" s="60"/>
      <c r="J73" s="60"/>
      <c r="K73" s="60"/>
    </row>
    <row r="74">
      <c r="A74" s="5" t="s">
        <v>526</v>
      </c>
      <c r="B74" s="4"/>
      <c r="C74" s="4"/>
      <c r="D74" s="4"/>
      <c r="E74" s="4"/>
      <c r="F74" s="4"/>
      <c r="G74" s="4"/>
      <c r="H74" s="4"/>
      <c r="I74" s="60"/>
      <c r="J74" s="60"/>
      <c r="K74" s="60"/>
    </row>
    <row r="75">
      <c r="A75" s="10" t="s">
        <v>527</v>
      </c>
      <c r="B75" s="42">
        <f t="shared" ref="B75:B77" si="9">E26</f>
        <v>14</v>
      </c>
      <c r="C75" s="10" t="s">
        <v>507</v>
      </c>
      <c r="D75" s="52">
        <v>120.0</v>
      </c>
      <c r="E75" s="64">
        <f t="shared" ref="E75:E77" si="10">B75*D75</f>
        <v>1680</v>
      </c>
      <c r="F75" s="4"/>
      <c r="G75" s="4"/>
      <c r="H75" s="4"/>
      <c r="I75" s="60"/>
      <c r="J75" s="60"/>
      <c r="K75" s="60"/>
    </row>
    <row r="76">
      <c r="A76" s="10" t="s">
        <v>593</v>
      </c>
      <c r="B76" s="42">
        <f t="shared" si="9"/>
        <v>2</v>
      </c>
      <c r="C76" s="10" t="s">
        <v>507</v>
      </c>
      <c r="D76" s="52">
        <v>80.0</v>
      </c>
      <c r="E76" s="64">
        <f t="shared" si="10"/>
        <v>160</v>
      </c>
      <c r="F76" s="4"/>
      <c r="G76" s="4"/>
      <c r="H76" s="4"/>
      <c r="I76" s="60"/>
      <c r="J76" s="60"/>
      <c r="K76" s="60"/>
    </row>
    <row r="77">
      <c r="A77" s="10" t="s">
        <v>594</v>
      </c>
      <c r="B77" s="42">
        <f t="shared" si="9"/>
        <v>12</v>
      </c>
      <c r="C77" s="10" t="s">
        <v>507</v>
      </c>
      <c r="D77" s="52">
        <v>60.0</v>
      </c>
      <c r="E77" s="64">
        <f t="shared" si="10"/>
        <v>720</v>
      </c>
      <c r="F77" s="4"/>
      <c r="G77" s="4"/>
      <c r="H77" s="4"/>
      <c r="I77" s="60"/>
      <c r="J77" s="60"/>
      <c r="K77" s="60"/>
    </row>
    <row r="78">
      <c r="A78" s="63" t="s">
        <v>595</v>
      </c>
      <c r="B78" s="42"/>
      <c r="C78" s="42"/>
      <c r="D78" s="42"/>
      <c r="E78" s="64">
        <f>SUM(E75:E77)</f>
        <v>2560</v>
      </c>
      <c r="F78" s="4"/>
      <c r="G78" s="4"/>
      <c r="H78" s="4"/>
      <c r="I78" s="60"/>
      <c r="J78" s="60"/>
      <c r="K78" s="60"/>
    </row>
    <row r="79">
      <c r="A79" s="5" t="s">
        <v>596</v>
      </c>
      <c r="B79" s="4"/>
      <c r="C79" s="4"/>
      <c r="D79" s="4"/>
      <c r="E79" s="65"/>
      <c r="F79" s="4"/>
      <c r="G79" s="4"/>
      <c r="H79" s="4"/>
    </row>
    <row r="80">
      <c r="A80" s="10" t="s">
        <v>597</v>
      </c>
      <c r="B80" s="42">
        <f>E36</f>
        <v>1.989</v>
      </c>
      <c r="C80" s="10" t="s">
        <v>507</v>
      </c>
      <c r="D80" s="52">
        <v>7500.0</v>
      </c>
      <c r="E80" s="64">
        <f>B80*D80</f>
        <v>14917.5</v>
      </c>
      <c r="F80" s="4"/>
      <c r="G80" s="4"/>
      <c r="H80" s="4"/>
    </row>
    <row r="81">
      <c r="A81" s="63" t="s">
        <v>598</v>
      </c>
      <c r="B81" s="42"/>
      <c r="C81" s="42"/>
      <c r="D81" s="42"/>
      <c r="E81" s="64">
        <f>SUM(E80)</f>
        <v>14917.5</v>
      </c>
      <c r="F81" s="4"/>
      <c r="G81" s="4"/>
      <c r="H81" s="4"/>
    </row>
    <row r="82">
      <c r="A82" s="5" t="s">
        <v>599</v>
      </c>
      <c r="B82" s="4"/>
      <c r="C82" s="4"/>
      <c r="D82" s="4"/>
      <c r="E82" s="65"/>
      <c r="F82" s="4"/>
      <c r="G82" s="4"/>
      <c r="H82" s="4"/>
    </row>
    <row r="83">
      <c r="A83" s="10" t="s">
        <v>600</v>
      </c>
      <c r="B83" s="42">
        <f>E44</f>
        <v>0.2409</v>
      </c>
      <c r="C83" s="10" t="s">
        <v>554</v>
      </c>
      <c r="D83" s="52">
        <v>65000.0</v>
      </c>
      <c r="E83" s="64">
        <f>B83*D83</f>
        <v>15658.5</v>
      </c>
      <c r="F83" s="4"/>
      <c r="G83" s="4"/>
      <c r="H83" s="4"/>
    </row>
    <row r="84">
      <c r="A84" s="63" t="s">
        <v>601</v>
      </c>
      <c r="B84" s="42"/>
      <c r="C84" s="42"/>
      <c r="D84" s="42"/>
      <c r="E84" s="64">
        <f>E83</f>
        <v>15658.5</v>
      </c>
      <c r="F84" s="4"/>
      <c r="G84" s="4"/>
      <c r="H84" s="4"/>
    </row>
    <row r="85">
      <c r="A85" s="7" t="s">
        <v>602</v>
      </c>
      <c r="B85" s="42"/>
      <c r="C85" s="42"/>
      <c r="D85" s="42"/>
      <c r="E85" s="64"/>
      <c r="F85" s="4"/>
      <c r="G85" s="4"/>
      <c r="H85" s="4"/>
    </row>
    <row r="86">
      <c r="A86" s="10" t="s">
        <v>603</v>
      </c>
      <c r="B86" s="42">
        <f>E52</f>
        <v>11.5</v>
      </c>
      <c r="C86" s="10" t="s">
        <v>69</v>
      </c>
      <c r="D86" s="52">
        <v>450.0</v>
      </c>
      <c r="E86" s="64">
        <f>B86*D86</f>
        <v>5175</v>
      </c>
      <c r="F86" s="4"/>
      <c r="G86" s="4"/>
      <c r="H86" s="4"/>
    </row>
    <row r="87">
      <c r="A87" s="63" t="s">
        <v>604</v>
      </c>
      <c r="B87" s="42"/>
      <c r="C87" s="42"/>
      <c r="D87" s="42"/>
      <c r="E87" s="64">
        <f>E86</f>
        <v>5175</v>
      </c>
      <c r="F87" s="4"/>
      <c r="G87" s="4"/>
      <c r="H87" s="4"/>
    </row>
    <row r="88">
      <c r="A88" s="5" t="s">
        <v>605</v>
      </c>
      <c r="B88" s="4"/>
      <c r="C88" s="4"/>
      <c r="D88" s="4"/>
      <c r="E88" s="65"/>
      <c r="F88" s="4"/>
      <c r="G88" s="4"/>
      <c r="H88" s="4"/>
    </row>
    <row r="89">
      <c r="A89" s="10" t="s">
        <v>606</v>
      </c>
      <c r="B89" s="42">
        <f t="shared" ref="B89:B90" si="11">E54</f>
        <v>5</v>
      </c>
      <c r="C89" s="10" t="s">
        <v>69</v>
      </c>
      <c r="D89" s="52">
        <v>280.0</v>
      </c>
      <c r="E89" s="64">
        <f t="shared" ref="E89:E90" si="12">B89*D89</f>
        <v>1400</v>
      </c>
      <c r="F89" s="4"/>
      <c r="G89" s="4"/>
      <c r="H89" s="4"/>
    </row>
    <row r="90">
      <c r="A90" s="10" t="s">
        <v>607</v>
      </c>
      <c r="B90" s="42">
        <f t="shared" si="11"/>
        <v>5</v>
      </c>
      <c r="C90" s="10" t="s">
        <v>69</v>
      </c>
      <c r="D90" s="47">
        <v>180.0</v>
      </c>
      <c r="E90" s="64">
        <f t="shared" si="12"/>
        <v>900</v>
      </c>
      <c r="F90" s="4"/>
      <c r="G90" s="4"/>
      <c r="H90" s="4"/>
    </row>
    <row r="91">
      <c r="A91" s="63" t="s">
        <v>608</v>
      </c>
      <c r="B91" s="42"/>
      <c r="C91" s="42"/>
      <c r="D91" s="42"/>
      <c r="E91" s="64">
        <f>SUM(E89:E90)</f>
        <v>2300</v>
      </c>
      <c r="F91" s="4"/>
      <c r="G91" s="4"/>
      <c r="H91" s="4"/>
    </row>
    <row r="92">
      <c r="A92" s="5" t="s">
        <v>609</v>
      </c>
      <c r="B92" s="4"/>
      <c r="C92" s="4"/>
      <c r="D92" s="4"/>
      <c r="E92" s="65"/>
      <c r="F92" s="4"/>
      <c r="G92" s="4"/>
      <c r="H92" s="4"/>
    </row>
    <row r="93">
      <c r="A93" s="10" t="s">
        <v>610</v>
      </c>
      <c r="B93" s="42">
        <f t="shared" ref="B93:B94" si="13">E58</f>
        <v>6</v>
      </c>
      <c r="C93" s="10" t="s">
        <v>69</v>
      </c>
      <c r="D93" s="52">
        <v>180.0</v>
      </c>
      <c r="E93" s="64">
        <f t="shared" ref="E93:E94" si="14">B93*D93</f>
        <v>1080</v>
      </c>
      <c r="F93" s="4"/>
      <c r="G93" s="4"/>
      <c r="H93" s="4"/>
    </row>
    <row r="94">
      <c r="A94" s="10" t="s">
        <v>611</v>
      </c>
      <c r="B94" s="42">
        <f t="shared" si="13"/>
        <v>4</v>
      </c>
      <c r="C94" s="10" t="s">
        <v>69</v>
      </c>
      <c r="D94" s="47">
        <v>160.0</v>
      </c>
      <c r="E94" s="64">
        <f t="shared" si="14"/>
        <v>640</v>
      </c>
      <c r="F94" s="4"/>
      <c r="G94" s="4"/>
      <c r="H94" s="4"/>
    </row>
    <row r="95">
      <c r="A95" s="63" t="s">
        <v>612</v>
      </c>
      <c r="B95" s="42"/>
      <c r="C95" s="42"/>
      <c r="D95" s="42"/>
      <c r="E95" s="64">
        <f>SUM(E93:E94)</f>
        <v>1720</v>
      </c>
      <c r="F95" s="4"/>
      <c r="G95" s="4"/>
      <c r="H95" s="4"/>
    </row>
    <row r="96">
      <c r="A96" s="5" t="s">
        <v>613</v>
      </c>
      <c r="B96" s="4"/>
      <c r="C96" s="4"/>
      <c r="D96" s="4"/>
      <c r="E96" s="4"/>
      <c r="F96" s="4"/>
      <c r="G96" s="4"/>
      <c r="H96" s="4"/>
    </row>
    <row r="97">
      <c r="A97" s="10" t="s">
        <v>614</v>
      </c>
      <c r="B97" s="42">
        <f t="shared" ref="B97:B103" si="15">E61</f>
        <v>3</v>
      </c>
      <c r="C97" s="10" t="s">
        <v>11</v>
      </c>
      <c r="D97" s="47">
        <v>450.0</v>
      </c>
      <c r="E97" s="42">
        <f t="shared" ref="E97:E103" si="16">B97*D97</f>
        <v>1350</v>
      </c>
      <c r="F97" s="4"/>
      <c r="G97" s="4"/>
      <c r="H97" s="4"/>
    </row>
    <row r="98">
      <c r="A98" s="10" t="s">
        <v>615</v>
      </c>
      <c r="B98" s="42">
        <f t="shared" si="15"/>
        <v>1</v>
      </c>
      <c r="C98" s="10" t="s">
        <v>11</v>
      </c>
      <c r="D98" s="47">
        <v>450.0</v>
      </c>
      <c r="E98" s="42">
        <f t="shared" si="16"/>
        <v>450</v>
      </c>
      <c r="F98" s="4"/>
      <c r="G98" s="4"/>
      <c r="H98" s="4"/>
    </row>
    <row r="99">
      <c r="A99" s="10" t="s">
        <v>616</v>
      </c>
      <c r="B99" s="42">
        <f t="shared" si="15"/>
        <v>2</v>
      </c>
      <c r="C99" s="10" t="s">
        <v>11</v>
      </c>
      <c r="D99" s="47">
        <v>320.0</v>
      </c>
      <c r="E99" s="42">
        <f t="shared" si="16"/>
        <v>640</v>
      </c>
      <c r="F99" s="4"/>
      <c r="G99" s="4"/>
      <c r="H99" s="4"/>
    </row>
    <row r="100">
      <c r="A100" s="10" t="s">
        <v>617</v>
      </c>
      <c r="B100" s="42">
        <f t="shared" si="15"/>
        <v>1</v>
      </c>
      <c r="C100" s="10" t="s">
        <v>583</v>
      </c>
      <c r="D100" s="47">
        <v>2500.0</v>
      </c>
      <c r="E100" s="42">
        <f t="shared" si="16"/>
        <v>2500</v>
      </c>
      <c r="F100" s="4"/>
      <c r="G100" s="4"/>
      <c r="H100" s="4"/>
    </row>
    <row r="101">
      <c r="A101" s="10" t="s">
        <v>584</v>
      </c>
      <c r="B101" s="42">
        <f t="shared" si="15"/>
        <v>1</v>
      </c>
      <c r="C101" s="10" t="s">
        <v>11</v>
      </c>
      <c r="D101" s="47">
        <v>1800.0</v>
      </c>
      <c r="E101" s="42">
        <f t="shared" si="16"/>
        <v>1800</v>
      </c>
      <c r="F101" s="4"/>
      <c r="G101" s="4"/>
      <c r="H101" s="4"/>
    </row>
    <row r="102">
      <c r="A102" s="10" t="s">
        <v>618</v>
      </c>
      <c r="B102" s="42">
        <f t="shared" si="15"/>
        <v>1</v>
      </c>
      <c r="C102" s="10" t="s">
        <v>583</v>
      </c>
      <c r="D102" s="47">
        <v>3500.0</v>
      </c>
      <c r="E102" s="42">
        <f t="shared" si="16"/>
        <v>3500</v>
      </c>
      <c r="F102" s="4"/>
      <c r="G102" s="4"/>
      <c r="H102" s="4"/>
    </row>
    <row r="103">
      <c r="A103" s="10" t="s">
        <v>619</v>
      </c>
      <c r="B103" s="42">
        <f t="shared" si="15"/>
        <v>2</v>
      </c>
      <c r="C103" s="10" t="s">
        <v>11</v>
      </c>
      <c r="D103" s="47">
        <v>180.0</v>
      </c>
      <c r="E103" s="42">
        <f t="shared" si="16"/>
        <v>360</v>
      </c>
      <c r="F103" s="4"/>
      <c r="G103" s="4"/>
      <c r="H103" s="4"/>
    </row>
    <row r="104">
      <c r="A104" s="63" t="s">
        <v>620</v>
      </c>
      <c r="B104" s="42"/>
      <c r="C104" s="42"/>
      <c r="D104" s="42"/>
      <c r="E104" s="42">
        <f>SUM(E97:E103)</f>
        <v>10600</v>
      </c>
      <c r="F104" s="4"/>
      <c r="G104" s="4"/>
      <c r="H104" s="4"/>
    </row>
    <row r="105">
      <c r="A105" s="42"/>
      <c r="B105" s="42"/>
      <c r="C105" s="42"/>
      <c r="D105" s="42"/>
      <c r="E105" s="42"/>
      <c r="F105" s="4"/>
      <c r="G105" s="4"/>
      <c r="H105" s="4"/>
    </row>
    <row r="106">
      <c r="A106" s="7" t="s">
        <v>621</v>
      </c>
      <c r="B106" s="42"/>
      <c r="C106" s="42"/>
      <c r="D106" s="42"/>
      <c r="E106" s="64">
        <f>E78+E81+E84+E87+E91+E95+E104</f>
        <v>52931</v>
      </c>
      <c r="F106" s="4"/>
      <c r="G106" s="4"/>
      <c r="H106" s="4"/>
    </row>
    <row r="107">
      <c r="A107" s="42"/>
      <c r="B107" s="42"/>
      <c r="C107" s="42"/>
      <c r="D107" s="42"/>
      <c r="E107" s="42"/>
      <c r="F107" s="4"/>
      <c r="G107" s="4"/>
      <c r="H107" s="4"/>
    </row>
    <row r="108">
      <c r="A108" s="5" t="s">
        <v>622</v>
      </c>
      <c r="B108" s="4"/>
      <c r="C108" s="4"/>
      <c r="D108" s="4"/>
      <c r="E108" s="4"/>
      <c r="F108" s="4"/>
      <c r="G108" s="4"/>
      <c r="H108" s="4"/>
    </row>
    <row r="109">
      <c r="A109" s="10" t="s">
        <v>623</v>
      </c>
      <c r="B109" s="64">
        <f>E106</f>
        <v>52931</v>
      </c>
      <c r="C109" s="42"/>
      <c r="D109" s="52">
        <v>0.1</v>
      </c>
      <c r="E109" s="64">
        <f>B109*D109</f>
        <v>5293.1</v>
      </c>
      <c r="F109" s="4"/>
      <c r="G109" s="4"/>
      <c r="H109" s="4"/>
    </row>
    <row r="110">
      <c r="A110" s="63" t="s">
        <v>624</v>
      </c>
      <c r="B110" s="42"/>
      <c r="C110" s="42"/>
      <c r="D110" s="42"/>
      <c r="E110" s="64">
        <f>SUM(E109)</f>
        <v>5293.1</v>
      </c>
      <c r="F110" s="4"/>
      <c r="G110" s="4"/>
      <c r="H110" s="4"/>
    </row>
    <row r="111">
      <c r="A111" s="7"/>
      <c r="B111" s="42"/>
      <c r="C111" s="42"/>
      <c r="D111" s="42"/>
      <c r="E111" s="42"/>
      <c r="F111" s="4"/>
      <c r="G111" s="4"/>
      <c r="H111" s="4"/>
    </row>
    <row r="112">
      <c r="A112" s="7" t="s">
        <v>625</v>
      </c>
      <c r="B112" s="42"/>
      <c r="C112" s="42"/>
      <c r="D112" s="42"/>
      <c r="E112" s="64">
        <f>E106+E110</f>
        <v>58224.1</v>
      </c>
      <c r="F112" s="4"/>
      <c r="G112" s="4"/>
      <c r="H112" s="4"/>
    </row>
    <row r="113">
      <c r="A113" s="42"/>
      <c r="B113" s="42"/>
      <c r="C113" s="42"/>
      <c r="D113" s="42"/>
      <c r="E113" s="42"/>
      <c r="F113" s="4"/>
      <c r="G113" s="4"/>
      <c r="H113" s="4"/>
    </row>
    <row r="114">
      <c r="A114" s="7" t="s">
        <v>626</v>
      </c>
      <c r="B114" s="42"/>
      <c r="C114" s="42"/>
      <c r="D114" s="42"/>
      <c r="E114" s="42"/>
      <c r="F114" s="4"/>
      <c r="G114" s="4"/>
      <c r="H114" s="4"/>
    </row>
    <row r="115">
      <c r="A115" s="10" t="s">
        <v>627</v>
      </c>
      <c r="B115" s="64">
        <f>E112</f>
        <v>58224.1</v>
      </c>
      <c r="C115" s="42"/>
      <c r="D115" s="52">
        <v>0.05</v>
      </c>
      <c r="E115" s="64">
        <f t="shared" ref="E115:E116" si="17">B115*D115</f>
        <v>2911.205</v>
      </c>
      <c r="F115" s="4"/>
      <c r="G115" s="4"/>
      <c r="H115" s="4"/>
    </row>
    <row r="116">
      <c r="A116" s="10" t="s">
        <v>628</v>
      </c>
      <c r="B116" s="64">
        <f>(E112+E115)</f>
        <v>61135.305</v>
      </c>
      <c r="C116" s="42"/>
      <c r="D116" s="52">
        <v>0.18</v>
      </c>
      <c r="E116" s="42">
        <f t="shared" si="17"/>
        <v>11004.3549</v>
      </c>
      <c r="F116" s="4"/>
      <c r="G116" s="4"/>
      <c r="H116" s="4"/>
    </row>
    <row r="117">
      <c r="A117" s="63" t="s">
        <v>629</v>
      </c>
      <c r="B117" s="42"/>
      <c r="C117" s="42"/>
      <c r="D117" s="42"/>
      <c r="E117" s="64">
        <f>SUM(E115:E116)</f>
        <v>13915.5599</v>
      </c>
      <c r="F117" s="4"/>
      <c r="G117" s="4"/>
      <c r="H117" s="4"/>
    </row>
    <row r="118">
      <c r="A118" s="63"/>
      <c r="B118" s="42"/>
      <c r="C118" s="42"/>
      <c r="D118" s="42"/>
      <c r="E118" s="42"/>
      <c r="F118" s="4"/>
      <c r="G118" s="4"/>
      <c r="H118" s="4"/>
    </row>
    <row r="119">
      <c r="A119" s="7" t="s">
        <v>630</v>
      </c>
      <c r="B119" s="42"/>
      <c r="C119" s="42"/>
      <c r="D119" s="42"/>
      <c r="E119" s="64">
        <f>(E112+E117)</f>
        <v>72139.6599</v>
      </c>
      <c r="F119" s="4"/>
      <c r="G119" s="4"/>
      <c r="H119" s="4"/>
    </row>
    <row r="120">
      <c r="A120" s="42"/>
      <c r="B120" s="42"/>
      <c r="C120" s="42"/>
      <c r="D120" s="42"/>
      <c r="E120" s="42"/>
      <c r="F120" s="4"/>
      <c r="G120" s="4"/>
      <c r="H120" s="4"/>
    </row>
    <row r="121">
      <c r="A121" s="66" t="s">
        <v>631</v>
      </c>
      <c r="B121" s="37"/>
      <c r="C121" s="42"/>
      <c r="D121" s="42"/>
      <c r="E121" s="42"/>
      <c r="F121" s="4"/>
      <c r="G121" s="4"/>
      <c r="H121" s="4"/>
    </row>
    <row r="122">
      <c r="A122" s="66"/>
      <c r="B122" s="37"/>
      <c r="C122" s="42"/>
      <c r="D122" s="42"/>
      <c r="E122" s="42"/>
      <c r="F122" s="4"/>
      <c r="G122" s="4"/>
      <c r="H122" s="4"/>
    </row>
    <row r="123">
      <c r="A123" s="67" t="s">
        <v>526</v>
      </c>
      <c r="B123" s="68">
        <f>E78</f>
        <v>2560</v>
      </c>
      <c r="C123" s="42"/>
      <c r="D123" s="42"/>
      <c r="E123" s="42"/>
      <c r="F123" s="4"/>
      <c r="G123" s="4"/>
      <c r="H123" s="4"/>
    </row>
    <row r="124">
      <c r="A124" s="67" t="s">
        <v>596</v>
      </c>
      <c r="B124" s="68">
        <f>E81</f>
        <v>14917.5</v>
      </c>
      <c r="C124" s="42"/>
      <c r="D124" s="42"/>
      <c r="E124" s="42"/>
      <c r="F124" s="4"/>
      <c r="G124" s="4"/>
      <c r="H124" s="4"/>
    </row>
    <row r="125">
      <c r="A125" s="69" t="s">
        <v>599</v>
      </c>
      <c r="B125" s="68">
        <f>E84</f>
        <v>15658.5</v>
      </c>
      <c r="C125" s="42"/>
      <c r="D125" s="42"/>
      <c r="E125" s="42"/>
      <c r="F125" s="4"/>
      <c r="G125" s="4"/>
      <c r="H125" s="4"/>
    </row>
    <row r="126">
      <c r="A126" s="69" t="s">
        <v>602</v>
      </c>
      <c r="B126" s="68">
        <f>E87</f>
        <v>5175</v>
      </c>
      <c r="C126" s="4"/>
      <c r="D126" s="4"/>
      <c r="E126" s="4"/>
      <c r="F126" s="4"/>
      <c r="G126" s="4"/>
      <c r="H126" s="4"/>
    </row>
    <row r="127">
      <c r="A127" s="67" t="s">
        <v>605</v>
      </c>
      <c r="B127" s="68">
        <f>E91</f>
        <v>2300</v>
      </c>
      <c r="C127" s="42"/>
      <c r="D127" s="42"/>
      <c r="E127" s="42"/>
      <c r="F127" s="4"/>
      <c r="G127" s="4"/>
      <c r="H127" s="4"/>
    </row>
    <row r="128">
      <c r="A128" s="67" t="s">
        <v>609</v>
      </c>
      <c r="B128" s="68">
        <f>E95</f>
        <v>1720</v>
      </c>
      <c r="C128" s="42"/>
      <c r="D128" s="42"/>
      <c r="E128" s="42"/>
      <c r="F128" s="4"/>
      <c r="G128" s="4"/>
      <c r="H128" s="4"/>
    </row>
    <row r="129">
      <c r="A129" s="67" t="s">
        <v>613</v>
      </c>
      <c r="B129" s="37">
        <f>E104</f>
        <v>10600</v>
      </c>
      <c r="C129" s="10"/>
      <c r="D129" s="10"/>
      <c r="E129" s="10"/>
      <c r="F129" s="4"/>
      <c r="G129" s="4"/>
      <c r="H129" s="4"/>
    </row>
    <row r="130">
      <c r="A130" s="36" t="s">
        <v>632</v>
      </c>
      <c r="B130" s="68">
        <f>E110</f>
        <v>5293.1</v>
      </c>
      <c r="C130" s="54"/>
      <c r="D130" s="54"/>
      <c r="E130" s="54"/>
      <c r="F130" s="4"/>
      <c r="G130" s="4"/>
      <c r="H130" s="4"/>
    </row>
    <row r="131">
      <c r="A131" s="36" t="s">
        <v>633</v>
      </c>
      <c r="B131" s="68">
        <f t="shared" ref="B131:B132" si="18">E115</f>
        <v>2911.205</v>
      </c>
      <c r="C131" s="10"/>
      <c r="D131" s="10"/>
      <c r="E131" s="42"/>
      <c r="F131" s="4"/>
      <c r="G131" s="4"/>
      <c r="H131" s="4"/>
    </row>
    <row r="132">
      <c r="A132" s="36" t="s">
        <v>634</v>
      </c>
      <c r="B132" s="38">
        <f t="shared" si="18"/>
        <v>11004.3549</v>
      </c>
      <c r="C132" s="10"/>
      <c r="D132" s="10"/>
      <c r="E132" s="42"/>
      <c r="F132" s="4"/>
      <c r="G132" s="4"/>
      <c r="H132" s="4"/>
    </row>
    <row r="133">
      <c r="A133" s="70" t="s">
        <v>635</v>
      </c>
      <c r="B133" s="68">
        <f>SUM(B123:B132)</f>
        <v>72139.6599</v>
      </c>
      <c r="C133" s="10"/>
      <c r="D133" s="10"/>
      <c r="E133" s="42"/>
      <c r="F133" s="4"/>
      <c r="G133" s="4"/>
      <c r="H133" s="4"/>
    </row>
    <row r="134">
      <c r="A134" s="10"/>
      <c r="B134" s="42"/>
      <c r="C134" s="10"/>
      <c r="D134" s="10"/>
      <c r="E134" s="42"/>
      <c r="F134" s="4"/>
      <c r="G134" s="4"/>
      <c r="H134" s="4"/>
    </row>
    <row r="135">
      <c r="A135" s="10"/>
      <c r="B135" s="42"/>
      <c r="C135" s="10"/>
      <c r="D135" s="10"/>
      <c r="E135" s="42"/>
      <c r="F135" s="42"/>
      <c r="G135" s="4"/>
      <c r="H135" s="4"/>
    </row>
    <row r="136">
      <c r="A136" s="10"/>
      <c r="B136" s="42"/>
      <c r="C136" s="10"/>
      <c r="D136" s="10"/>
      <c r="E136" s="42"/>
      <c r="F136" s="42"/>
      <c r="G136" s="4"/>
      <c r="H136" s="4"/>
    </row>
    <row r="137">
      <c r="A137" s="10"/>
      <c r="B137" s="10"/>
      <c r="C137" s="10"/>
      <c r="D137" s="54"/>
      <c r="E137" s="42"/>
      <c r="F137" s="4"/>
    </row>
    <row r="138">
      <c r="A138" s="10"/>
      <c r="B138" s="10"/>
      <c r="C138" s="10"/>
      <c r="D138" s="42"/>
      <c r="E138" s="42"/>
      <c r="F138" s="4"/>
    </row>
    <row r="139">
      <c r="A139" s="10"/>
      <c r="B139" s="10"/>
      <c r="C139" s="10"/>
      <c r="D139" s="42"/>
      <c r="E139" s="42"/>
      <c r="F139" s="4"/>
    </row>
    <row r="140">
      <c r="A140" s="54"/>
      <c r="B140" s="54"/>
      <c r="C140" s="54"/>
      <c r="D140" s="42"/>
      <c r="E140" s="42"/>
      <c r="F140" s="4"/>
    </row>
    <row r="141">
      <c r="A141" s="10"/>
      <c r="B141" s="42"/>
      <c r="C141" s="42"/>
      <c r="D141" s="42"/>
      <c r="E141" s="42"/>
      <c r="F141" s="4"/>
    </row>
    <row r="142">
      <c r="A142" s="54"/>
      <c r="B142" s="42"/>
      <c r="C142" s="42"/>
      <c r="D142" s="42"/>
      <c r="E142" s="42"/>
      <c r="F142" s="4"/>
    </row>
    <row r="143">
      <c r="A143" s="42"/>
      <c r="B143" s="42"/>
      <c r="C143" s="42"/>
      <c r="D143" s="42"/>
      <c r="E143" s="42"/>
      <c r="F143" s="4"/>
    </row>
    <row r="144">
      <c r="A144" s="10"/>
      <c r="B144" s="42"/>
      <c r="C144" s="42"/>
      <c r="D144" s="42"/>
      <c r="E144" s="42"/>
      <c r="F144" s="4"/>
    </row>
    <row r="145">
      <c r="A145" s="71"/>
      <c r="B145" s="60"/>
      <c r="C145" s="60"/>
      <c r="D145" s="60"/>
      <c r="E145" s="60"/>
      <c r="F145" s="4"/>
    </row>
    <row r="146">
      <c r="A146" s="58"/>
      <c r="B146" s="58"/>
      <c r="C146" s="58"/>
      <c r="D146" s="58"/>
      <c r="E146" s="58"/>
      <c r="F146" s="4"/>
    </row>
    <row r="147">
      <c r="A147" s="71"/>
      <c r="B147" s="71"/>
      <c r="C147" s="71"/>
      <c r="D147" s="71"/>
      <c r="E147" s="71"/>
      <c r="F147" s="4"/>
    </row>
    <row r="148">
      <c r="A148" s="58"/>
      <c r="B148" s="58"/>
      <c r="C148" s="72"/>
      <c r="D148" s="60"/>
      <c r="E148" s="60"/>
      <c r="F148" s="4"/>
    </row>
    <row r="149">
      <c r="A149" s="58"/>
      <c r="B149" s="58"/>
      <c r="C149" s="72"/>
      <c r="D149" s="60"/>
      <c r="E149" s="60"/>
      <c r="F149" s="4"/>
    </row>
    <row r="150">
      <c r="A150" s="58"/>
      <c r="B150" s="58"/>
      <c r="C150" s="72"/>
      <c r="D150" s="60"/>
      <c r="E150" s="60"/>
      <c r="F150" s="4"/>
    </row>
    <row r="151">
      <c r="A151" s="58"/>
      <c r="B151" s="58"/>
      <c r="C151" s="72"/>
      <c r="D151" s="60"/>
      <c r="E151" s="60"/>
      <c r="F151" s="4"/>
    </row>
    <row r="152">
      <c r="A152" s="58"/>
      <c r="B152" s="58"/>
      <c r="C152" s="72"/>
      <c r="D152" s="60"/>
      <c r="E152" s="60"/>
      <c r="F152" s="4"/>
    </row>
    <row r="153">
      <c r="A153" s="58"/>
      <c r="B153" s="58"/>
      <c r="C153" s="72"/>
      <c r="D153" s="60"/>
      <c r="E153" s="60"/>
      <c r="F153" s="4"/>
    </row>
    <row r="154">
      <c r="A154" s="58"/>
      <c r="B154" s="58"/>
      <c r="C154" s="72"/>
      <c r="D154" s="60"/>
      <c r="E154" s="60"/>
      <c r="F154" s="4"/>
    </row>
    <row r="155">
      <c r="A155" s="58"/>
      <c r="B155" s="58"/>
      <c r="C155" s="72"/>
      <c r="D155" s="60"/>
      <c r="E155" s="60"/>
      <c r="F155" s="4"/>
    </row>
    <row r="156">
      <c r="A156" s="71"/>
      <c r="B156" s="71"/>
      <c r="C156" s="73"/>
      <c r="D156" s="60"/>
      <c r="E156" s="60"/>
      <c r="F156" s="4"/>
    </row>
    <row r="157">
      <c r="A157" s="60"/>
      <c r="B157" s="58"/>
      <c r="C157" s="60"/>
      <c r="D157" s="60"/>
      <c r="E157" s="60"/>
      <c r="F157" s="58"/>
      <c r="G157" s="42"/>
      <c r="H157" s="4"/>
    </row>
    <row r="158">
      <c r="A158" s="60"/>
      <c r="B158" s="58"/>
      <c r="C158" s="60"/>
      <c r="D158" s="60"/>
      <c r="E158" s="60"/>
      <c r="F158" s="58"/>
      <c r="G158" s="42"/>
      <c r="H158" s="4"/>
    </row>
    <row r="159">
      <c r="F159" s="58"/>
      <c r="G159" s="42"/>
      <c r="H159" s="4"/>
    </row>
    <row r="160">
      <c r="F160" s="58"/>
      <c r="G160" s="4"/>
      <c r="H160" s="4"/>
    </row>
    <row r="161">
      <c r="F161" s="58"/>
      <c r="H161" s="4"/>
    </row>
    <row r="162">
      <c r="F162" s="58"/>
      <c r="H162" s="4"/>
    </row>
    <row r="163">
      <c r="F163" s="58"/>
      <c r="H163" s="4"/>
    </row>
    <row r="164">
      <c r="F164" s="71"/>
    </row>
    <row r="165">
      <c r="F165" s="60"/>
    </row>
    <row r="166">
      <c r="F166" s="60"/>
    </row>
  </sheetData>
  <mergeCells count="1">
    <mergeCell ref="A1:F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2.38"/>
  </cols>
  <sheetData>
    <row r="1">
      <c r="A1" s="74" t="s">
        <v>503</v>
      </c>
      <c r="B1" s="74" t="s">
        <v>504</v>
      </c>
      <c r="C1" s="74" t="s">
        <v>505</v>
      </c>
      <c r="D1" s="75" t="s">
        <v>636</v>
      </c>
      <c r="E1" s="75" t="s">
        <v>637</v>
      </c>
      <c r="F1" s="75" t="s">
        <v>638</v>
      </c>
      <c r="G1" s="75" t="s">
        <v>639</v>
      </c>
      <c r="H1" s="75" t="s">
        <v>640</v>
      </c>
      <c r="I1" s="75" t="s">
        <v>641</v>
      </c>
      <c r="J1" s="75" t="s">
        <v>642</v>
      </c>
      <c r="K1" s="75" t="s">
        <v>643</v>
      </c>
      <c r="L1" s="74" t="s">
        <v>375</v>
      </c>
      <c r="M1" s="74" t="s">
        <v>644</v>
      </c>
      <c r="N1" s="74" t="s">
        <v>645</v>
      </c>
      <c r="O1" s="74" t="s">
        <v>646</v>
      </c>
      <c r="P1" s="74" t="s">
        <v>647</v>
      </c>
      <c r="Q1" s="74" t="s">
        <v>648</v>
      </c>
      <c r="R1" s="74" t="s">
        <v>649</v>
      </c>
      <c r="S1" s="75" t="s">
        <v>377</v>
      </c>
      <c r="T1" s="75" t="s">
        <v>650</v>
      </c>
      <c r="U1" s="75" t="s">
        <v>651</v>
      </c>
      <c r="V1" s="75" t="s">
        <v>652</v>
      </c>
      <c r="W1" s="75" t="s">
        <v>653</v>
      </c>
      <c r="X1" s="75" t="s">
        <v>654</v>
      </c>
      <c r="Y1" s="75" t="s">
        <v>655</v>
      </c>
      <c r="Z1" s="75" t="s">
        <v>656</v>
      </c>
      <c r="AA1" s="74" t="s">
        <v>657</v>
      </c>
      <c r="AB1" s="74" t="s">
        <v>658</v>
      </c>
      <c r="AC1" s="74" t="s">
        <v>659</v>
      </c>
      <c r="AD1" s="74" t="s">
        <v>660</v>
      </c>
      <c r="AE1" s="74" t="s">
        <v>661</v>
      </c>
      <c r="AF1" s="74" t="s">
        <v>662</v>
      </c>
      <c r="AG1" s="74" t="s">
        <v>663</v>
      </c>
      <c r="AH1" s="74" t="s">
        <v>664</v>
      </c>
      <c r="AI1" s="74" t="s">
        <v>665</v>
      </c>
      <c r="AJ1" s="74" t="s">
        <v>666</v>
      </c>
      <c r="AK1" s="74" t="s">
        <v>667</v>
      </c>
      <c r="AL1" s="76" t="s">
        <v>526</v>
      </c>
      <c r="AM1" s="76" t="s">
        <v>596</v>
      </c>
      <c r="AN1" s="77" t="s">
        <v>599</v>
      </c>
      <c r="AO1" s="77" t="s">
        <v>602</v>
      </c>
      <c r="AP1" s="76" t="s">
        <v>605</v>
      </c>
      <c r="AQ1" s="76" t="s">
        <v>609</v>
      </c>
      <c r="AR1" s="76" t="s">
        <v>613</v>
      </c>
      <c r="AS1" s="78" t="s">
        <v>632</v>
      </c>
      <c r="AT1" s="78" t="s">
        <v>633</v>
      </c>
      <c r="AU1" s="78" t="s">
        <v>634</v>
      </c>
      <c r="AV1" s="2" t="s">
        <v>635</v>
      </c>
    </row>
    <row r="2">
      <c r="A2" s="74" t="str">
        <f>Inputs!A2&amp;"m"</f>
        <v>1m</v>
      </c>
      <c r="B2" s="74" t="str">
        <f>Inputs!B2&amp;"m"</f>
        <v>1m</v>
      </c>
      <c r="C2" s="74" t="str">
        <f>Inputs!C2&amp;"m"</f>
        <v>1m</v>
      </c>
      <c r="D2" s="79" t="str">
        <f>'Roof Slab'!B148&amp;"mm"</f>
        <v>150mm</v>
      </c>
      <c r="E2" s="79" t="str">
        <f>'Roof Slab'!C14&amp;"mm φ @ "&amp;'Roof Slab'!C79&amp;" mm c/c"</f>
        <v>16mm φ @ 300 mm c/c</v>
      </c>
      <c r="F2" s="79" t="str">
        <f>'Roof Slab'!C14&amp;"mm φ @ "&amp;'Roof Slab'!C85&amp;" mm c/c"</f>
        <v>16mm φ @ 300 mm c/c</v>
      </c>
      <c r="G2" s="79" t="str">
        <f>'Roof Slab'!C15&amp;"mm φ @ "&amp;'Roof Slab'!C105&amp;" mm c/c"</f>
        <v>12mm φ @ 250 mm c/c</v>
      </c>
      <c r="H2" s="79" t="str">
        <f>'Roof Slab'!C15&amp;"mm φ @ "&amp;'Roof Slab'!C111&amp;" mm c/c"</f>
        <v>12mm φ @ 250 mm c/c</v>
      </c>
      <c r="I2" s="80" t="str">
        <f>'Roof Slab'!C128</f>
        <v>SAFE</v>
      </c>
      <c r="J2" s="80" t="str">
        <f>'Roof Slab'!B157</f>
        <v>OK</v>
      </c>
      <c r="K2" s="80" t="str">
        <f>'Roof Slab'!B158</f>
        <v>OK</v>
      </c>
      <c r="L2" s="81" t="str">
        <f>'Long Wall'!B165&amp;"mm"</f>
        <v>300mm</v>
      </c>
      <c r="M2" s="81" t="str">
        <f>'Long Wall'!C18&amp;"mm φ @ "&amp;'Long Wall'!C92&amp;" mm c/c"</f>
        <v>16mm φ @ 300 mm c/c</v>
      </c>
      <c r="N2" s="81" t="str">
        <f>'Long Wall'!C18&amp;"mm φ @ "&amp;'Long Wall'!C104&amp;" mm c/c"</f>
        <v>16mm φ @ 300 mm c/c</v>
      </c>
      <c r="O2" s="81" t="str">
        <f>'Long Wall'!C19&amp;"mm φ @ "&amp;'Long Wall'!C116&amp;" mm c/c"</f>
        <v>12mm φ @ 300 mm c/c</v>
      </c>
      <c r="P2" s="82" t="str">
        <f>'Long Wall'!B173</f>
        <v>OK - Primarily Flexure</v>
      </c>
      <c r="Q2" s="82" t="str">
        <f>'Long Wall'!B174</f>
        <v>SAFE</v>
      </c>
      <c r="R2" s="82" t="str">
        <f>'Long Wall'!B175</f>
        <v>OK</v>
      </c>
      <c r="S2" s="79" t="str">
        <f>'Long Wall'!B165&amp;"mm"</f>
        <v>300mm</v>
      </c>
      <c r="T2" s="79" t="str">
        <f>'Long Wall'!C18&amp;"mm φ @ "&amp;'Long Wall'!C92&amp;" mm c/c"</f>
        <v>16mm φ @ 300 mm c/c</v>
      </c>
      <c r="U2" s="79" t="str">
        <f>'Short Wall'!C18&amp;"mm φ @ "&amp;'Short Wall'!C106&amp;" mm c/c"</f>
        <v>16mm φ @ 300 mm c/c</v>
      </c>
      <c r="V2" s="79" t="str">
        <f>'Short Wall'!C19&amp;"mm φ @ "&amp;'Short Wall'!C123&amp;" mm c/c"</f>
        <v>12mm φ @ 300 mm c/c</v>
      </c>
      <c r="W2" s="79" t="str">
        <f>'Short Wall'!C19&amp;"mm φ @ "&amp;'Short Wall'!C135&amp;" mm c/c"</f>
        <v>12mm φ @ 300 mm c/c</v>
      </c>
      <c r="X2" s="79" t="str">
        <f>'Short Wall'!B190</f>
        <v>OK - Primarily Flexure</v>
      </c>
      <c r="Y2" s="79" t="str">
        <f>'Short Wall'!B191</f>
        <v>SAFE</v>
      </c>
      <c r="Z2" s="79" t="str">
        <f>'Short Wall'!B192</f>
        <v>OK</v>
      </c>
      <c r="AA2" s="81" t="str">
        <f>'Base Slab'!B197&amp;"mm"</f>
        <v>600mm</v>
      </c>
      <c r="AB2" s="81" t="str">
        <f>'Base Slab'!C15&amp;"mm φ @ "&amp;'Base Slab'!C117&amp;" mm c/c"</f>
        <v>25mm φ @ 300 mm c/c</v>
      </c>
      <c r="AC2" s="81" t="str">
        <f>'Base Slab'!C15&amp;"mm φ @ "&amp;'Base Slab'!C122&amp;" mm c/c"</f>
        <v>25mm φ @ 300 mm c/c</v>
      </c>
      <c r="AD2" s="81" t="str">
        <f>'Base Slab'!C16&amp;"mm φ @ "&amp;'Base Slab'!C142&amp;" mm c/c"</f>
        <v>16mm φ @ 300 mm c/c</v>
      </c>
      <c r="AE2" s="81" t="str">
        <f>'Base Slab'!C16&amp;"mm φ @ "&amp;'Base Slab'!C147&amp;" mm c/c"</f>
        <v>16mm φ @ 300 mm c/c</v>
      </c>
      <c r="AF2" s="82" t="str">
        <f>'Base Slab'!B219</f>
        <v>OK</v>
      </c>
      <c r="AG2" s="82" t="str">
        <f>'Base Slab'!B220</f>
        <v>SAFE</v>
      </c>
      <c r="AH2" s="82" t="str">
        <f>'Base Slab'!B221</f>
        <v>SAFE</v>
      </c>
      <c r="AI2" s="82" t="str">
        <f>'Base Slab'!B222</f>
        <v>SAFE</v>
      </c>
      <c r="AJ2" s="82" t="str">
        <f>'Base Slab'!B223</f>
        <v>SAFE</v>
      </c>
      <c r="AK2" s="81" t="str">
        <f>'Base Slab'!B224</f>
        <v>OK</v>
      </c>
      <c r="AL2" s="83">
        <f>Estimation!B123</f>
        <v>2560</v>
      </c>
      <c r="AM2" s="83">
        <f>Estimation!B124</f>
        <v>14917.5</v>
      </c>
      <c r="AN2" s="83">
        <f>Estimation!B125</f>
        <v>15658.5</v>
      </c>
      <c r="AO2" s="83">
        <f>Estimation!B126</f>
        <v>5175</v>
      </c>
      <c r="AP2" s="83">
        <f>Estimation!B127</f>
        <v>2300</v>
      </c>
      <c r="AQ2" s="83">
        <f>Estimation!B128</f>
        <v>1720</v>
      </c>
      <c r="AR2" s="81">
        <f>Estimation!B129</f>
        <v>10600</v>
      </c>
      <c r="AS2" s="83">
        <f>Estimation!B130</f>
        <v>5293.1</v>
      </c>
      <c r="AT2" s="83">
        <f>Estimation!B131</f>
        <v>2911.205</v>
      </c>
      <c r="AU2" s="82">
        <f>Estimation!B132</f>
        <v>11004.3549</v>
      </c>
      <c r="AV2" s="84">
        <f>Estimation!B133</f>
        <v>72139.6599</v>
      </c>
    </row>
    <row r="3">
      <c r="A3" s="4"/>
      <c r="B3" s="4"/>
      <c r="C3" s="4"/>
      <c r="D3" s="4"/>
      <c r="E3" s="4"/>
      <c r="F3" s="4"/>
    </row>
    <row r="4">
      <c r="A4" s="4"/>
      <c r="B4" s="4"/>
      <c r="C4" s="4"/>
      <c r="D4" s="4"/>
      <c r="E4" s="4"/>
    </row>
    <row r="5">
      <c r="A5" s="4"/>
      <c r="B5" s="4"/>
      <c r="C5" s="4"/>
      <c r="D5" s="4"/>
      <c r="E5" s="4"/>
    </row>
    <row r="6">
      <c r="C6" s="4"/>
      <c r="D6" s="4"/>
      <c r="E6" s="4"/>
    </row>
    <row r="7">
      <c r="C7" s="4"/>
      <c r="D7" s="4"/>
      <c r="E7" s="4"/>
    </row>
    <row r="8">
      <c r="C8" s="4"/>
      <c r="D8" s="4"/>
      <c r="E8" s="4"/>
    </row>
    <row r="9">
      <c r="C9" s="4"/>
      <c r="D9" s="4"/>
      <c r="E9" s="4"/>
    </row>
    <row r="10">
      <c r="C10" s="4"/>
      <c r="D10" s="4"/>
      <c r="E10" s="4"/>
    </row>
    <row r="11">
      <c r="C11" s="4"/>
      <c r="D11" s="4"/>
      <c r="E11" s="4"/>
    </row>
    <row r="12">
      <c r="C12" s="4"/>
      <c r="D12" s="4"/>
      <c r="E12" s="4"/>
    </row>
    <row r="13">
      <c r="C13" s="4"/>
      <c r="D13" s="4"/>
      <c r="E13" s="4"/>
    </row>
    <row r="14">
      <c r="C14" s="4"/>
      <c r="D14" s="4"/>
      <c r="E14" s="4"/>
    </row>
    <row r="15">
      <c r="C15" s="4"/>
      <c r="D15" s="4"/>
      <c r="E15" s="4"/>
    </row>
    <row r="16">
      <c r="C16" s="4"/>
      <c r="D16" s="4"/>
      <c r="E16" s="4"/>
    </row>
    <row r="17">
      <c r="C17" s="4"/>
      <c r="D17" s="4"/>
      <c r="E17" s="4"/>
    </row>
    <row r="18">
      <c r="C18" s="4"/>
      <c r="D18" s="4"/>
      <c r="E18" s="4"/>
    </row>
    <row r="19">
      <c r="C19" s="4"/>
      <c r="D19" s="4"/>
      <c r="E19" s="4"/>
    </row>
    <row r="20">
      <c r="C20" s="4"/>
      <c r="D20" s="4"/>
      <c r="E20" s="4"/>
    </row>
    <row r="21">
      <c r="C21" s="4"/>
      <c r="D21" s="4"/>
      <c r="E21" s="4"/>
    </row>
    <row r="22">
      <c r="C22" s="4"/>
      <c r="D22" s="4"/>
      <c r="E22" s="4"/>
    </row>
    <row r="23">
      <c r="C23" s="4"/>
      <c r="D23" s="4"/>
      <c r="E23" s="4"/>
    </row>
    <row r="24">
      <c r="C24" s="4"/>
      <c r="D24" s="4"/>
      <c r="E24" s="4"/>
    </row>
    <row r="25">
      <c r="C25" s="4"/>
      <c r="D25" s="4"/>
      <c r="E25" s="4"/>
    </row>
    <row r="26">
      <c r="C26" s="4"/>
      <c r="D26" s="4"/>
      <c r="E26" s="4"/>
    </row>
    <row r="27">
      <c r="C27" s="4"/>
      <c r="D27" s="4"/>
      <c r="E27" s="4"/>
    </row>
    <row r="28">
      <c r="C28" s="4"/>
      <c r="D28" s="4"/>
      <c r="E28" s="4"/>
    </row>
    <row r="29">
      <c r="C29" s="4"/>
      <c r="D29" s="4"/>
      <c r="E29" s="4"/>
    </row>
    <row r="30">
      <c r="C30" s="4"/>
      <c r="D30" s="4"/>
      <c r="E30" s="4"/>
    </row>
    <row r="31">
      <c r="C31" s="4"/>
      <c r="D31" s="4"/>
      <c r="E31" s="4"/>
    </row>
    <row r="32">
      <c r="C32" s="4"/>
      <c r="D32" s="4"/>
      <c r="E32" s="4"/>
    </row>
    <row r="33">
      <c r="C33" s="4"/>
      <c r="D33" s="4"/>
      <c r="E33" s="4"/>
    </row>
    <row r="34">
      <c r="C34" s="4"/>
      <c r="D34" s="4"/>
      <c r="E34" s="4"/>
    </row>
    <row r="35">
      <c r="C35" s="4"/>
      <c r="D35" s="4"/>
      <c r="E35" s="4"/>
    </row>
    <row r="36">
      <c r="C36" s="4"/>
      <c r="D36" s="4"/>
      <c r="E36" s="4"/>
    </row>
    <row r="37">
      <c r="C37" s="4"/>
      <c r="D37" s="4"/>
      <c r="E37" s="4"/>
    </row>
    <row r="38">
      <c r="C38" s="4"/>
      <c r="D38" s="4"/>
      <c r="E38" s="4"/>
    </row>
    <row r="39">
      <c r="C39" s="4"/>
      <c r="D39" s="4"/>
      <c r="E39" s="4"/>
    </row>
    <row r="40">
      <c r="C40" s="4"/>
      <c r="D40" s="4"/>
      <c r="E40" s="4"/>
    </row>
    <row r="41">
      <c r="C41" s="4"/>
      <c r="D41" s="4"/>
      <c r="E41" s="4"/>
    </row>
    <row r="42">
      <c r="C42" s="4"/>
      <c r="D42" s="4"/>
      <c r="E42" s="4"/>
    </row>
    <row r="43">
      <c r="C43" s="4"/>
      <c r="D43" s="4"/>
      <c r="E43" s="4"/>
    </row>
    <row r="44">
      <c r="C44" s="4"/>
      <c r="D44" s="4"/>
      <c r="E44" s="4"/>
    </row>
    <row r="45">
      <c r="C45" s="4"/>
      <c r="D45" s="4"/>
      <c r="E45" s="4"/>
    </row>
    <row r="46">
      <c r="C46" s="4"/>
      <c r="D46" s="4"/>
      <c r="E46" s="4"/>
    </row>
    <row r="47">
      <c r="C47" s="4"/>
      <c r="D47" s="4"/>
      <c r="E47" s="4"/>
    </row>
    <row r="48">
      <c r="C48" s="4"/>
      <c r="D48" s="4"/>
      <c r="E48" s="4"/>
    </row>
    <row r="49">
      <c r="C49" s="4"/>
      <c r="D49" s="4"/>
      <c r="E49" s="4"/>
    </row>
    <row r="50">
      <c r="C50" s="4"/>
      <c r="D50" s="4"/>
      <c r="E50" s="4"/>
      <c r="F50" s="4"/>
    </row>
    <row r="51">
      <c r="C51" s="4"/>
      <c r="D51" s="4"/>
      <c r="E51" s="4"/>
      <c r="F51" s="4"/>
    </row>
    <row r="52">
      <c r="C52" s="4"/>
      <c r="D52" s="4"/>
      <c r="E52" s="4"/>
      <c r="F52" s="4"/>
    </row>
    <row r="53">
      <c r="C53" s="4"/>
      <c r="D53" s="4"/>
      <c r="E53" s="4"/>
      <c r="F53" s="4"/>
    </row>
    <row r="54">
      <c r="C54" s="4"/>
      <c r="D54" s="4"/>
      <c r="E54" s="4"/>
      <c r="F54" s="4"/>
    </row>
    <row r="55">
      <c r="C55" s="4"/>
      <c r="D55" s="4"/>
      <c r="E55" s="4"/>
      <c r="F55" s="4"/>
    </row>
    <row r="56">
      <c r="C56" s="4"/>
      <c r="D56" s="4"/>
      <c r="E56" s="4"/>
      <c r="F56" s="4"/>
    </row>
    <row r="57">
      <c r="C57" s="4"/>
      <c r="D57" s="4"/>
      <c r="E57" s="4"/>
      <c r="F57" s="4"/>
    </row>
    <row r="58">
      <c r="D58" s="4"/>
      <c r="E58" s="4"/>
      <c r="F58" s="4"/>
    </row>
    <row r="59">
      <c r="D59" s="4"/>
      <c r="E59" s="4"/>
      <c r="F59" s="4"/>
    </row>
    <row r="60">
      <c r="D60" s="4"/>
      <c r="E60" s="4"/>
      <c r="F60" s="4"/>
    </row>
    <row r="61">
      <c r="D61" s="4"/>
      <c r="E61" s="4"/>
      <c r="F61" s="4"/>
    </row>
    <row r="62">
      <c r="D62" s="4"/>
      <c r="E62" s="4"/>
      <c r="F62" s="4"/>
    </row>
    <row r="63">
      <c r="D63" s="4"/>
      <c r="E63" s="4"/>
      <c r="F63" s="4"/>
    </row>
    <row r="64">
      <c r="D64" s="4"/>
      <c r="E64" s="4"/>
      <c r="F64" s="4"/>
    </row>
    <row r="65">
      <c r="D65" s="4"/>
      <c r="E65" s="4"/>
      <c r="F65" s="4"/>
    </row>
    <row r="66">
      <c r="D66" s="4"/>
      <c r="E66" s="4"/>
      <c r="F66" s="4"/>
    </row>
    <row r="67">
      <c r="E67" s="4"/>
      <c r="F67" s="4"/>
    </row>
    <row r="68">
      <c r="E68" s="4"/>
      <c r="F68" s="4"/>
    </row>
    <row r="69">
      <c r="F69" s="4"/>
    </row>
  </sheetData>
  <drawing r:id="rId1"/>
</worksheet>
</file>